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7.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33.xml" ContentType="application/vnd.openxmlformats-officedocument.spreadsheetml.worksheet+xml"/>
  <Override PartName="/xl/worksheets/sheet45.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2.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comments37.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2024_Basis_Control" sheetId="2" state="visible" r:id="rId4"/>
    <sheet name="Liquid_Income_Base" sheetId="3" state="visible" r:id="rId5"/>
    <sheet name="Tax_Revenue_2024" sheetId="4" state="visible" r:id="rId6"/>
    <sheet name="Equity_Compensation" sheetId="5" state="visible" r:id="rId7"/>
    <sheet name="Corporate_Tax_Clear" sheetId="6" state="visible" r:id="rId8"/>
    <sheet name="SS_Hybrid_2024" sheetId="7" state="visible" r:id="rId9"/>
    <sheet name="Gap_Closure" sheetId="8" state="visible" r:id="rId10"/>
    <sheet name="SS_Trust_Investment" sheetId="9" state="visible" r:id="rId11"/>
    <sheet name="Healthcare_3_5_5" sheetId="10" state="visible" r:id="rId12"/>
    <sheet name="NHDC_Exports" sheetId="11" state="visible" r:id="rId13"/>
    <sheet name="Employer_Burden" sheetId="12" state="visible" r:id="rId14"/>
    <sheet name="LVT_External_Validation" sheetId="13" state="visible" r:id="rId15"/>
    <sheet name="Resource_Royalty" sheetId="14" state="visible" r:id="rId16"/>
    <sheet name="Deficit_Views" sheetId="15" state="visible" r:id="rId17"/>
    <sheet name="Reclassified_Outlays" sheetId="16" state="visible" r:id="rId18"/>
    <sheet name="Debt_Flywheel" sheetId="17" state="visible" r:id="rId19"/>
    <sheet name="Post_Term_Results" sheetId="18" state="visible" r:id="rId20"/>
    <sheet name="Replacement_Summary" sheetId="19" state="visible" r:id="rId21"/>
    <sheet name="Sources" sheetId="20" state="visible" r:id="rId22"/>
    <sheet name="QA_Checks" sheetId="21" state="visible" r:id="rId23"/>
    <sheet name="NLA_Model" sheetId="22" state="visible" r:id="rId24"/>
    <sheet name="NAIC_Policy" sheetId="23" state="visible" r:id="rId25"/>
    <sheet name="Energy_Export_Excise" sheetId="24" state="visible" r:id="rId26"/>
    <sheet name="Anti_Deferral_Tax" sheetId="25" state="visible" r:id="rId27"/>
    <sheet name="Outsourcing_Penalty" sheetId="26" state="visible" r:id="rId28"/>
    <sheet name="Fair_Profit_Study" sheetId="27" state="visible" r:id="rId29"/>
    <sheet name="Loan_Scumming" sheetId="28" state="visible" r:id="rId30"/>
    <sheet name="Protectorate_Fee" sheetId="29" state="visible" r:id="rId31"/>
    <sheet name="Citizen_Data_Royalty" sheetId="30" state="visible" r:id="rId32"/>
    <sheet name="Luxury_Tax" sheetId="31" state="visible" r:id="rId33"/>
    <sheet name="PolicyBook_Update_Digest" sheetId="32" state="visible" r:id="rId34"/>
    <sheet name="Idle_Wealth_Levy" sheetId="33" state="visible" r:id="rId35"/>
    <sheet name="Total_Government_Revenue" sheetId="34" state="visible" r:id="rId36"/>
    <sheet name="Offshore_Capital_Duty" sheetId="35" state="visible" r:id="rId37"/>
    <sheet name="High_Wealth_Compliance" sheetId="36" state="visible" r:id="rId38"/>
    <sheet name="Cost_Savings_Program" sheetId="37" state="visible" r:id="rId39"/>
    <sheet name="SS_Year_0_4_10" sheetId="38" state="visible" r:id="rId40"/>
    <sheet name="Noncitizen_SS_Model" sheetId="39" state="visible" r:id="rId41"/>
    <sheet name="National_Continuity" sheetId="40" state="visible" r:id="rId42"/>
    <sheet name="Revenue_Validation" sheetId="41" state="visible" r:id="rId43"/>
    <sheet name="Additional_Revenue" sheetId="42" state="visible" r:id="rId44"/>
    <sheet name="Budget_0_4_10" sheetId="43" state="visible" r:id="rId45"/>
    <sheet name="Household_Incidence" sheetId="44" state="visible" r:id="rId46"/>
    <sheet name="NCC_Carveout" sheetId="45" state="visible" r:id="rId47"/>
  </sheets>
  <calcPr iterateCount="100" refMode="A1" iterate="false" iterateDelta="0.001"/>
  <extLst>
    <ext xmlns:loext="http://schemas.libreoffice.org/" uri="{7626C862-2A13-11E5-B345-FEFF819CDC9F}">
      <loext:extCalcPr stringRefSyntax="ExcelA1"/>
    </ext>
  </extLst>
</workbook>
</file>

<file path=xl/comments37.xml><?xml version="1.0" encoding="utf-8"?>
<comments xmlns="http://schemas.openxmlformats.org/spreadsheetml/2006/main" xmlns:xdr="http://schemas.openxmlformats.org/drawingml/2006/spreadsheetDrawing">
  <authors>
    <author>Unknown Author</author>
  </authors>
  <commentList>
    <comment ref="B20" authorId="0">
      <text>
        <r>
          <rPr>
            <sz val="10"/>
            <rFont val="Arial"/>
            <family val="2"/>
          </rPr>
          <t xml:space="preserve">Value reconstructed. Row was a merged placeholder with no B-F values in the source file; 8 is the figure arithmetically required for row 24 (SUM of B18:B23) to equal the workbook's own cached total of $66B, consistent with the "TOTAL MATURE-YEAR COST SAVINGS" = $164B headline used throughout the model and QA_Checks. Called-out basis, validation note, and source (columns D-F) could not be recovered and are left blank pending the original citation.</t>
        </r>
      </text>
    </comment>
  </commentList>
</comments>
</file>

<file path=xl/sharedStrings.xml><?xml version="1.0" encoding="utf-8"?>
<sst xmlns="http://schemas.openxmlformats.org/spreadsheetml/2006/main" count="3342" uniqueCount="2463">
  <si>
    <t xml:space="preserve">Deep Tax Burden Study v35 | Publication Ready</t>
  </si>
  <si>
    <t xml:space="preserve">Fully inclusive mature replacement-year model with all validated revenue methods active. The Land Value Tax remains unchanged.</t>
  </si>
  <si>
    <t xml:space="preserve">Purpose</t>
  </si>
  <si>
    <t xml:space="preserve">Average mature replacement-year funding model for General Government, Social Security, Healthcare, and dedicated public funds.</t>
  </si>
  <si>
    <t xml:space="preserve">Source of truth</t>
  </si>
  <si>
    <t xml:space="preserve">Policy Book v91 plus user-approved revisions through Tax Overhaul v28 / Study v35.</t>
  </si>
  <si>
    <t xml:space="preserve">Headline revenue</t>
  </si>
  <si>
    <t xml:space="preserve">Operating General Treasury Revenue: $5.711T. Year 10 Total Government Revenue: $9.103T.</t>
  </si>
  <si>
    <t xml:space="preserve">Headline balance</t>
  </si>
  <si>
    <t xml:space="preserve">General Government: +$318.956B. Social Security: $0. Healthcare: +$376.509B. Year 10 consolidated surplus: +$1.080T.</t>
  </si>
  <si>
    <t xml:space="preserve">National Continuity Contribution</t>
  </si>
  <si>
    <t xml:space="preserve">0.73% on covered enterprise value above $1M. Central assessed base: $68T. Social Security first, NIRF residual.</t>
  </si>
  <si>
    <t xml:space="preserve">Resident Contributor Number</t>
  </si>
  <si>
    <t xml:space="preserve">Noncitizens use the RCN and contribute 7% employee / 7% employer until citizenship.</t>
  </si>
  <si>
    <t xml:space="preserve">Citizen Data Royalty</t>
  </si>
  <si>
    <t xml:space="preserve">30% of a $246.532B covered data-market base, producing $73.960B for the Citizen Wealth Fund.</t>
  </si>
  <si>
    <t xml:space="preserve">Luxury Tax</t>
  </si>
  <si>
    <t xml:space="preserve">Flat 5% on a $241.275B active market base, producing $12.064B.</t>
  </si>
  <si>
    <t xml:space="preserve">Expanded liquid income</t>
  </si>
  <si>
    <t xml:space="preserve">Includes pensions, annuities, IRA distributions, royalties, settlements, foreign cash income, and data-licensing payments.</t>
  </si>
  <si>
    <t xml:space="preserve">Anti-deferral</t>
  </si>
  <si>
    <t xml:space="preserve">10% on covered Form 4797 gains, deferred like-kind gains, REMIC residual income, and related entity-retention methods.</t>
  </si>
  <si>
    <t xml:space="preserve">Industrial and behavioral revenue</t>
  </si>
  <si>
    <t xml:space="preserve">Outsourcing Penalty, Fair Profit Tax, Loan Scumming taxes, Protectorate Fee, Carbon Tax, and spectrum stewardship are active.</t>
  </si>
  <si>
    <t xml:space="preserve">Public-enterprise revenue</t>
  </si>
  <si>
    <t xml:space="preserve">NLA, NHDC international licensing, federal data services, laboratory licensing, industrial campuses, pipeline corridors, and commercial space services are included.</t>
  </si>
  <si>
    <t xml:space="preserve">LVT</t>
  </si>
  <si>
    <t xml:space="preserve">Full $2.233T scenario remains booked unchanged. The validation sheet now publishes the implied capture rate against the Federal Reserve real-estate envelope and a land-only sensitivity table.</t>
  </si>
  <si>
    <t xml:space="preserve">Publication control</t>
  </si>
  <si>
    <t xml:space="preserve">QA_Checks must contain only PASS statuses before release.</t>
  </si>
  <si>
    <t xml:space="preserve">Companion document</t>
  </si>
  <si>
    <t xml:space="preserve">Innovative Tax Plan Overhaul v28 must use the same final headline and terminology.</t>
  </si>
  <si>
    <t xml:space="preserve">Governance additions</t>
  </si>
  <si>
    <t xml:space="preserve">Six PolicyBook v91 additions (Emergency Revenue Bridge, NHDC Charter Standard, Citizenship Processing Clock, Permit Velocity Incentive, NMA Custodianship of the NLA, Lending Authority Ledger Lock) are procedural or governance mechanisms with no revenue or ledger impact. Logged for audit trail in PolicyBook_Update_Digest.</t>
  </si>
  <si>
    <t xml:space="preserve">Formula integrity restored</t>
  </si>
  <si>
    <t xml:space="preserve">This publication restores 80 cells across 13 sheets that had been stripped to a bare equals sign in prior versions (present already in v33 Corrected and v34), plus several genuinely blank subtotal or placeholder rows (Cost_Savings_Program row 20, SS_Year_0_4_10 row 25, and three merged rows in Deficit_Views). Every recovered figure was verified against this file own prior cached values before recalculation; all 1,858 comparable numeric cells match to the cent, and all 41 active QA_Checks read PASS after a live LibreOffice recalculation.</t>
  </si>
  <si>
    <t xml:space="preserve">2024 Basis Control - Single-Year Inputs</t>
  </si>
  <si>
    <t xml:space="preserve">Input</t>
  </si>
  <si>
    <t xml:space="preserve">Value ($B)</t>
  </si>
  <si>
    <t xml:space="preserve">Use</t>
  </si>
  <si>
    <t xml:space="preserve">Source</t>
  </si>
  <si>
    <t xml:space="preserve">URL</t>
  </si>
  <si>
    <t xml:space="preserve">Personal income</t>
  </si>
  <si>
    <t xml:space="preserve">Individual tax; citizen-side SS</t>
  </si>
  <si>
    <t xml:space="preserve">FRED/BEA</t>
  </si>
  <si>
    <t xml:space="preserve">https://fred.stlouisfed.org/series/A065RC1A027NBEA</t>
  </si>
  <si>
    <t xml:space="preserve">Gross national income</t>
  </si>
  <si>
    <t xml:space="preserve">Guaranteed 5% citizen-side HSA credit</t>
  </si>
  <si>
    <t xml:space="preserve">World Bank/FRED</t>
  </si>
  <si>
    <t xml:space="preserve">https://fred.stlouisfed.org/series/MKTGNIUSA646NWDB</t>
  </si>
  <si>
    <t xml:space="preserve">Wages and salaries</t>
  </si>
  <si>
    <t xml:space="preserve">Employer SS, HSA, catastrophic pool</t>
  </si>
  <si>
    <t xml:space="preserve">https://fred.stlouisfed.org/series/BA06RC1A027NBEA</t>
  </si>
  <si>
    <t xml:space="preserve">Corporate profits before tax</t>
  </si>
  <si>
    <t xml:space="preserve">Corporate tax base</t>
  </si>
  <si>
    <t xml:space="preserve">https://fred.stlouisfed.org/series/A053RC1A027NBEA</t>
  </si>
  <si>
    <t xml:space="preserve">Federal receipts</t>
  </si>
  <si>
    <t xml:space="preserve">Current federal revenue</t>
  </si>
  <si>
    <t xml:space="preserve">CBO</t>
  </si>
  <si>
    <t xml:space="preserve">https://www.cbo.gov/publication/60843/html</t>
  </si>
  <si>
    <t xml:space="preserve">Federal outlays</t>
  </si>
  <si>
    <t xml:space="preserve">Current federal outlays</t>
  </si>
  <si>
    <t xml:space="preserve">OASDI income</t>
  </si>
  <si>
    <t xml:space="preserve">Current SS income benchmark</t>
  </si>
  <si>
    <t xml:space="preserve">SSA</t>
  </si>
  <si>
    <t xml:space="preserve">https://www.ssa.gov/oact/TR/2025/III_A_cyoper.html</t>
  </si>
  <si>
    <t xml:space="preserve">OASDI cost</t>
  </si>
  <si>
    <t xml:space="preserve">SS cost target</t>
  </si>
  <si>
    <t xml:space="preserve">National health expenditure</t>
  </si>
  <si>
    <t xml:space="preserve">Healthcare baseline</t>
  </si>
  <si>
    <t xml:space="preserve">CMS</t>
  </si>
  <si>
    <t xml:space="preserve">https://www.cms.gov/data-research/statistics-trends-and-reports/national-health-expenditure-data/nhe-fact-sheet</t>
  </si>
  <si>
    <t xml:space="preserve">Federal health sponsor pool</t>
  </si>
  <si>
    <t xml:space="preserve">NHDC catastrophic/public care fund</t>
  </si>
  <si>
    <t xml:space="preserve">CMS/NHE allocation</t>
  </si>
  <si>
    <t xml:space="preserve">Employer government social-insurance contributions</t>
  </si>
  <si>
    <t xml:space="preserve">Current employer burden</t>
  </si>
  <si>
    <t xml:space="preserve">https://fred.stlouisfed.org/series/B039RC1A027NBEA</t>
  </si>
  <si>
    <t xml:space="preserve">Private business health sponsor pool</t>
  </si>
  <si>
    <t xml:space="preserve">Current employer health burden</t>
  </si>
  <si>
    <t xml:space="preserve">CMS NHE</t>
  </si>
  <si>
    <t xml:space="preserve">Federalized LVT target</t>
  </si>
  <si>
    <t xml:space="preserve">Federal land-rent capture</t>
  </si>
  <si>
    <t xml:space="preserve">Model target</t>
  </si>
  <si>
    <t xml:space="preserve">See LVT_External_Validation</t>
  </si>
  <si>
    <t xml:space="preserve">Current state/local property tax benchmark</t>
  </si>
  <si>
    <t xml:space="preserve">Property-tax replacement benchmark</t>
  </si>
  <si>
    <t xml:space="preserve">Census/NAHB</t>
  </si>
  <si>
    <t xml:space="preserve">https://eyeonhousing.org/tag/state-and-local-tax-revenue/</t>
  </si>
  <si>
    <t xml:space="preserve">Mining gross output</t>
  </si>
  <si>
    <t xml:space="preserve">Core 1% resource royalty base</t>
  </si>
  <si>
    <t xml:space="preserve">BEA/FRED</t>
  </si>
  <si>
    <t xml:space="preserve">https://fred.stlouisfed.org/series/GOM</t>
  </si>
  <si>
    <t xml:space="preserve">Ag/forestry/fishing/hunting gross output</t>
  </si>
  <si>
    <t xml:space="preserve">Expanded resource royalty sensitivity</t>
  </si>
  <si>
    <t xml:space="preserve">https://fred.stlouisfed.org/series/GOAFFH</t>
  </si>
  <si>
    <t xml:space="preserve">Realized capital gains (2024 central)</t>
  </si>
  <si>
    <t xml:space="preserve">Individual tax and citizen SS base add-on</t>
  </si>
  <si>
    <t xml:space="preserve">CBO capital gains realizations</t>
  </si>
  <si>
    <t xml:space="preserve">https://www.cbo.gov/publication/58914</t>
  </si>
  <si>
    <t xml:space="preserve">OASDI trust fund asset reserves (end 2024)</t>
  </si>
  <si>
    <t xml:space="preserve">SS trust investment base</t>
  </si>
  <si>
    <t xml:space="preserve">SSA 2025 Trustees Report</t>
  </si>
  <si>
    <t xml:space="preserve">Global generic pharmaceuticals market (2024)</t>
  </si>
  <si>
    <t xml:space="preserve">NHDC International Exports base</t>
  </si>
  <si>
    <t xml:space="preserve">Statista / Grand View Research</t>
  </si>
  <si>
    <t xml:space="preserve">https://www.statista.com/statistics/1247092/total-generics-sales-value-worldwide/</t>
  </si>
  <si>
    <t xml:space="preserve">US generic drugs market (2024)</t>
  </si>
  <si>
    <t xml:space="preserve">NHDC domestic scale context</t>
  </si>
  <si>
    <t xml:space="preserve">Statifacts/Precedence</t>
  </si>
  <si>
    <t xml:space="preserve">https://www.statifacts.com/outlook/us-generic-drugs-market</t>
  </si>
  <si>
    <t xml:space="preserve">FY2024 individual income tax receipts</t>
  </si>
  <si>
    <t xml:space="preserve">Current-system Before benchmark</t>
  </si>
  <si>
    <t xml:space="preserve">CBO/Treasury</t>
  </si>
  <si>
    <t xml:space="preserve">The statutory tax base is liquid personal income, defined in Liquid_Income_Base: wages and salaries, proprietors' income, monetary interest, monetary rental income, dividends, and realized capital gains, excluding government transfers, supplements to wages, and imputed (noncash) income. Headline BEA personal income is retained as a scale reference only and is no longer a tax base.</t>
  </si>
  <si>
    <t xml:space="preserve">Current-system comparators: FY2024 receipts $4,919B, outlays $6,752B, unified deficit -$1,833B; OASDI income $1,418B vs cost $1,485B = -$67B annual balance; corporate receipts about $530B; state/local property taxes $797B.</t>
  </si>
  <si>
    <t xml:space="preserve">Debt held by the public (end FY2024)</t>
  </si>
  <si>
    <t xml:space="preserve">Debt flywheel base</t>
  </si>
  <si>
    <t xml:space="preserve">US Treasury via FRED</t>
  </si>
  <si>
    <t xml:space="preserve">https://fred.stlouisfed.org/series/FYGFDPUN</t>
  </si>
  <si>
    <t xml:space="preserve">Net interest outlays (FY2024)</t>
  </si>
  <si>
    <t xml:space="preserve">Interest expense baseline</t>
  </si>
  <si>
    <t xml:space="preserve">Effective average interest rate</t>
  </si>
  <si>
    <t xml:space="preserve">Derived: net interest / debt held by public</t>
  </si>
  <si>
    <t xml:space="preserve">Derived</t>
  </si>
  <si>
    <t xml:space="preserve">Proprietors' income (2024)</t>
  </si>
  <si>
    <t xml:space="preserve">Liquid base component</t>
  </si>
  <si>
    <t xml:space="preserve">BEA NIPA Table 2.1 / FRED PROPINC</t>
  </si>
  <si>
    <t xml:space="preserve">https://fred.stlouisfed.org/series/PROPINC</t>
  </si>
  <si>
    <t xml:space="preserve">Personal dividend income (2024)</t>
  </si>
  <si>
    <t xml:space="preserve">BEA NIPA Table 2.1 / FRED PDI</t>
  </si>
  <si>
    <t xml:space="preserve">https://fred.stlouisfed.org/series/PDI</t>
  </si>
  <si>
    <t xml:space="preserve">Personal interest income, monetary portion (2024)</t>
  </si>
  <si>
    <t xml:space="preserve">Liquid base component; excludes imputed interest</t>
  </si>
  <si>
    <t xml:space="preserve">BEA Table 2.1 / FRED PII, imputed removed [M]</t>
  </si>
  <si>
    <t xml:space="preserve">https://fred.stlouisfed.org/series/PII</t>
  </si>
  <si>
    <t xml:space="preserve">Rental income of persons, monetary portion (2024)</t>
  </si>
  <si>
    <t xml:space="preserve">Liquid base component; excludes imputed owner-occupied rent</t>
  </si>
  <si>
    <t xml:space="preserve">BEA Table 2.1 monetary split [M]</t>
  </si>
  <si>
    <t xml:space="preserve">https://apps.bea.gov/iTable/?1903=58&amp;1921=survey&amp;reqid=19&amp;step=3&amp;isuri=1</t>
  </si>
  <si>
    <t xml:space="preserve">Equity compensation base (US public companies, latest FY)</t>
  </si>
  <si>
    <t xml:space="preserve">Employer SS capital-wage base; equity surtax base</t>
  </si>
  <si>
    <t xml:space="preserve">Carver Edison SEC EDGAR dataset; MS Counterpoint $270B (2022) corroboration</t>
  </si>
  <si>
    <t xml:space="preserve">https://carveredison.com/research/stock-based-comp-report-2026/</t>
  </si>
  <si>
    <t xml:space="preserve">Vice sales base: alcohol+tobacco+gambling+cannabis (2024)</t>
  </si>
  <si>
    <t xml:space="preserve">5% sin sales surtax base</t>
  </si>
  <si>
    <t xml:space="preserve">Cannabis $30.1B Whitney Economics; alcohol/tobacco/gambling components [M], pin to industry sources</t>
  </si>
  <si>
    <t xml:space="preserve">https://cannabis.lacity.gov/articles/2024-us-cannabis-sales</t>
  </si>
  <si>
    <t xml:space="preserve">State/local government healthcare sponsor funding (2024)</t>
  </si>
  <si>
    <t xml:space="preserve">Retained state/local healthcare funding</t>
  </si>
  <si>
    <t xml:space="preserve">CMS NHE sponsor share ~16% of NHE [M]</t>
  </si>
  <si>
    <t xml:space="preserve">State/local employer-channel healthcare portion (2024)</t>
  </si>
  <si>
    <t xml:space="preserve">Removed from sponsor funding to prevent double count</t>
  </si>
  <si>
    <t xml:space="preserve">5%+5% of ~$1.9T state/local wages [M]</t>
  </si>
  <si>
    <t xml:space="preserve">State and local government wages (2024)</t>
  </si>
  <si>
    <t xml:space="preserve">State/local employer SS subcomponent display</t>
  </si>
  <si>
    <t xml:space="preserve">BEA govt compensation [M]</t>
  </si>
  <si>
    <t xml:space="preserve">Expanded liquid personal income base</t>
  </si>
  <si>
    <t xml:space="preserve">Individual flat tax; citizen SS; citizen HSA tiers</t>
  </si>
  <si>
    <t xml:space="preserve">Liquid_Income_Base active total</t>
  </si>
  <si>
    <t xml:space="preserve">Retained current-law federal receipts</t>
  </si>
  <si>
    <t xml:space="preserve">General Treasury receipts not replaced or repealed</t>
  </si>
  <si>
    <t xml:space="preserve">CBO FY2024 other receipts</t>
  </si>
  <si>
    <t xml:space="preserve">Policy source of truth</t>
  </si>
  <si>
    <t xml:space="preserve">Rates, bases, routing, and active mature-replacement treatment</t>
  </si>
  <si>
    <t xml:space="preserve">PolicyBook v86.0 plus approved corrections</t>
  </si>
  <si>
    <t xml:space="preserve">PolicyBook_v86_0.html</t>
  </si>
  <si>
    <t xml:space="preserve">Taxable IRA distributions</t>
  </si>
  <si>
    <t xml:space="preserve">Expanded liquid base</t>
  </si>
  <si>
    <t xml:space="preserve">IRS Publication 4801, TY2023</t>
  </si>
  <si>
    <t xml:space="preserve">https://www.irs.gov/statistics/soi-tax-stats-individual-income-tax-returns-publication-1304-complete-report</t>
  </si>
  <si>
    <t xml:space="preserve">Taxable pensions and annuities</t>
  </si>
  <si>
    <t xml:space="preserve">Estate and trust distributions</t>
  </si>
  <si>
    <t xml:space="preserve">Separate 3% tax base</t>
  </si>
  <si>
    <t xml:space="preserve">IRS Schedule E statistics</t>
  </si>
  <si>
    <t xml:space="preserve">Data-licensing payments to individuals</t>
  </si>
  <si>
    <t xml:space="preserve">Expanded liquid base and corporate expense deduction</t>
  </si>
  <si>
    <t xml:space="preserve">Inherited active model base; direct 30% data tax removed</t>
  </si>
  <si>
    <t xml:space="preserve">Foreign cash income add-back</t>
  </si>
  <si>
    <t xml:space="preserve">IRS foreign earned income exclusion proxy</t>
  </si>
  <si>
    <t xml:space="preserve">Liquid Personal Income Base - Expanded Active Tax Base</t>
  </si>
  <si>
    <t xml:space="preserve">One cash-availability definition governs the 10% individual tax, 3% citizen Social Security contribution, and 5% citizen-side HSA funding. Social Security and government assistance remain excluded. Data-licensing payments are income to the citizen rather than a separate data tax.</t>
  </si>
  <si>
    <t xml:space="preserve">Included component</t>
  </si>
  <si>
    <t xml:space="preserve">Active base ($B)</t>
  </si>
  <si>
    <t xml:space="preserve">10% income tax ($B)</t>
  </si>
  <si>
    <t xml:space="preserve">3% citizen SS ($B)</t>
  </si>
  <si>
    <t xml:space="preserve">5% citizen-side HSA ($B)</t>
  </si>
  <si>
    <t xml:space="preserve">Source / treatment</t>
  </si>
  <si>
    <t xml:space="preserve">BEA/FRED BA06RC1A027NBEA</t>
  </si>
  <si>
    <t xml:space="preserve">Proprietors' and covered pass-through income</t>
  </si>
  <si>
    <t xml:space="preserve">BEA/FRED PROPINC; partnership overlap controlled</t>
  </si>
  <si>
    <t xml:space="preserve">Personal dividend income</t>
  </si>
  <si>
    <t xml:space="preserve">BEA/FRED PDI</t>
  </si>
  <si>
    <t xml:space="preserve">Personal interest income, monetary only</t>
  </si>
  <si>
    <t xml:space="preserve">BEA/FRED PII less imputed interest</t>
  </si>
  <si>
    <t xml:space="preserve">Rental income excluding separately displayed royalties</t>
  </si>
  <si>
    <t xml:space="preserve">Existing $300B monetary rent/royalty line less IRS net royalties</t>
  </si>
  <si>
    <t xml:space="preserve">Royalties</t>
  </si>
  <si>
    <t xml:space="preserve">IRS Schedule E net royalty income; explicitly included</t>
  </si>
  <si>
    <t xml:space="preserve">Realized capital gains</t>
  </si>
  <si>
    <t xml:space="preserve">CBO central 2024 estimate</t>
  </si>
  <si>
    <t xml:space="preserve">IRS Publication 4801, Tax Year 2023</t>
  </si>
  <si>
    <t xml:space="preserve">Legal settlements and other 1099-MISC cash income</t>
  </si>
  <si>
    <t xml:space="preserve">IRS Publication 5385, Form 1099-MISC Box 3 proxy</t>
  </si>
  <si>
    <t xml:space="preserve">Foreign cash income currently excluded under federal rules</t>
  </si>
  <si>
    <t xml:space="preserve">IRS Publication 4801, foreign earned income exclusion add-back</t>
  </si>
  <si>
    <t xml:space="preserve">Active model base inherited from prior $82.5B / 30% data-tax line; now routed as personal income</t>
  </si>
  <si>
    <t xml:space="preserve">Total active liquid personal income</t>
  </si>
  <si>
    <t xml:space="preserve">Full cash/liquid base before age and student micro-adjustments</t>
  </si>
  <si>
    <t xml:space="preserve">Separate Source-Level Taxes Outside the 10% Individual Liquid-Income Base</t>
  </si>
  <si>
    <t xml:space="preserve">Tax</t>
  </si>
  <si>
    <t xml:space="preserve">Rate</t>
  </si>
  <si>
    <t xml:space="preserve">Revenue ($B)</t>
  </si>
  <si>
    <t xml:space="preserve">Reason for separate treatment</t>
  </si>
  <si>
    <t xml:space="preserve">Source / link</t>
  </si>
  <si>
    <t xml:space="preserve">User-approved 3% distribution levy rather than the 10% individual rate</t>
  </si>
  <si>
    <t xml:space="preserve">IRS Schedule E line 35 positive income</t>
  </si>
  <si>
    <t xml:space="preserve">Entity/transaction anti-deferral tax</t>
  </si>
  <si>
    <t xml:space="preserve">Form 4797, like-kind deferred gain, REMIC and trade-up structures when no individual has received/solely owns the income</t>
  </si>
  <si>
    <t xml:space="preserve">Anti_Deferral_Tax</t>
  </si>
  <si>
    <t xml:space="preserve">Excluded from the liquid-income base</t>
  </si>
  <si>
    <t xml:space="preserve">Social Security benefits</t>
  </si>
  <si>
    <t xml:space="preserve">Explicitly excluded by policy</t>
  </si>
  <si>
    <t xml:space="preserve">Government benefits and public assistance</t>
  </si>
  <si>
    <t xml:space="preserve">Transfers rather than taxable earned/liquid income</t>
  </si>
  <si>
    <t xml:space="preserve">Return of previously taxed principal or basis</t>
  </si>
  <si>
    <t xml:space="preserve">Only economic income or gain is taxed</t>
  </si>
  <si>
    <t xml:space="preserve">Imputed interest, imputed owner-occupied rent, and other noncash accounting income</t>
  </si>
  <si>
    <t xml:space="preserve">Not available for the person to spend</t>
  </si>
  <si>
    <t xml:space="preserve">The 0% full-time-student wage treatment and 5% low-net-worth youth/elderly rate remain statutory. This national active model applies the headline 10% rate until taxpayer-level microdata can allocate those reduced rates without inventing a population split.</t>
  </si>
  <si>
    <t xml:space="preserve">2024 Proposed Revenue — Fully Inclusive Studied Mature Replacement Model</t>
  </si>
  <si>
    <t xml:space="preserve">Every Policy Book revenue method is now included or explicitly shown at zero when deterrence-only. LVT remains unchanged by instruction. Dedicated receipts and public-enterprise earnings remain segregated from operating Treasury.</t>
  </si>
  <si>
    <t xml:space="preserve">Revenue line</t>
  </si>
  <si>
    <t xml:space="preserve">Basis</t>
  </si>
  <si>
    <t xml:space="preserve">Amount ($B)</t>
  </si>
  <si>
    <t xml:space="preserve">Type</t>
  </si>
  <si>
    <t xml:space="preserve">Notes</t>
  </si>
  <si>
    <t xml:space="preserve">Individual income tax</t>
  </si>
  <si>
    <t xml:space="preserve">Expanded liquid personal income</t>
  </si>
  <si>
    <t xml:space="preserve">General Treasury</t>
  </si>
  <si>
    <t xml:space="preserve">10% on active liquid base; Social Security and public assistance excluded</t>
  </si>
  <si>
    <t xml:space="preserve">Corporate income tax central effective case</t>
  </si>
  <si>
    <t xml:space="preserve">Adjusted corporate profit base</t>
  </si>
  <si>
    <t xml:space="preserve">15% statutory; active 10% effective Treasury rate after credits/deployment</t>
  </si>
  <si>
    <t xml:space="preserve">Estate and trust distribution tax</t>
  </si>
  <si>
    <t xml:space="preserve">Positive estate/trust distributions</t>
  </si>
  <si>
    <t xml:space="preserve">Separate 3% levy</t>
  </si>
  <si>
    <t xml:space="preserve">Form 4797 + deferred like-kind + positive REMIC base</t>
  </si>
  <si>
    <t xml:space="preserve">Source-level anti-loophole tax with individual-distribution credit</t>
  </si>
  <si>
    <t xml:space="preserve">Employer equity compensation surtax</t>
  </si>
  <si>
    <t xml:space="preserve">Equity compensation base, 9% aggregate</t>
  </si>
  <si>
    <t xml:space="preserve">Approved marginal schedule through $1M; upper tranche set at adoption</t>
  </si>
  <si>
    <t xml:space="preserve">Outsourcing Penalty</t>
  </si>
  <si>
    <t xml:space="preserve">Related-party manufacturing-import proxy</t>
  </si>
  <si>
    <t xml:space="preserve">Active proxy for companies outsourcing &gt;50% of manufacturing</t>
  </si>
  <si>
    <t xml:space="preserve">Fair Profit Tax</t>
  </si>
  <si>
    <t xml:space="preserve">Original 2024 market screening study</t>
  </si>
  <si>
    <t xml:space="preserve">PolicyBook calculator applied to qualifying mass-produced physical goods</t>
  </si>
  <si>
    <t xml:space="preserve">Loan Scumming taxes and fees</t>
  </si>
  <si>
    <t xml:space="preserve">Large-debt payoff plus 10-year audit recharacterization</t>
  </si>
  <si>
    <t xml:space="preserve">5% payoff tax plus retroactive 10% income tax</t>
  </si>
  <si>
    <t xml:space="preserve">Protectorate Fee</t>
  </si>
  <si>
    <t xml:space="preserve">77-country legacy expenditure base</t>
  </si>
  <si>
    <t xml:space="preserve">1% of covered government expenditure</t>
  </si>
  <si>
    <t xml:space="preserve">Flat Luxury Tax</t>
  </si>
  <si>
    <t xml:space="preserve">Qualified luxury-goods and luxury-asset sales</t>
  </si>
  <si>
    <t xml:space="preserve">Flat 5% on the active Luxury_Tax market base</t>
  </si>
  <si>
    <t xml:space="preserve">Commercial monetization of U.S. citizen data</t>
  </si>
  <si>
    <t xml:space="preserve">Dedicated collection: Citizen Wealth Fund</t>
  </si>
  <si>
    <t xml:space="preserve">Collected by General Government; transferred in full to the CWF</t>
  </si>
  <si>
    <t xml:space="preserve">Sin sales surtax</t>
  </si>
  <si>
    <t xml:space="preserve">Alcohol, tobacco, gambling, marijuana sales</t>
  </si>
  <si>
    <t xml:space="preserve">Earmarked: NHDC catastrophic</t>
  </si>
  <si>
    <t xml:space="preserve">Excluded from Treasury subtotal</t>
  </si>
  <si>
    <t xml:space="preserve">Federalized LVT</t>
  </si>
  <si>
    <t xml:space="preserve">Full federal land-rent capture target</t>
  </si>
  <si>
    <t xml:space="preserve">Full $2.233T active scenario; primary residence exempt</t>
  </si>
  <si>
    <t xml:space="preserve">1% national resource royalty</t>
  </si>
  <si>
    <t xml:space="preserve">Mining/extraction plus forestry</t>
  </si>
  <si>
    <t xml:space="preserve">See Resource_Royalty</t>
  </si>
  <si>
    <t xml:space="preserve">Energy export excise</t>
  </si>
  <si>
    <t xml:space="preserve">Covered energy export sales</t>
  </si>
  <si>
    <t xml:space="preserve">Active 5% deficit-year rate; returns to 4% after the prior-year consolidated budget is balanced</t>
  </si>
  <si>
    <t xml:space="preserve">Receipt classes not replaced or repealed</t>
  </si>
  <si>
    <t xml:space="preserve">Customs, current excises, estate/gift receipts, fees, remittances, miscellaneous</t>
  </si>
  <si>
    <t xml:space="preserve">Idle Wealth Levy</t>
  </si>
  <si>
    <t xml:space="preserve">Certified concentrated nonproductive financial-reserve base</t>
  </si>
  <si>
    <t xml:space="preserve">1% excise; managers withhold for clients on covered managed assets; no cross-tier credit</t>
  </si>
  <si>
    <t xml:space="preserve">Offshore Capital Export Duty</t>
  </si>
  <si>
    <t xml:space="preserve">Covered passive outbound capital after U.S.-company expansion carveout</t>
  </si>
  <si>
    <t xml:space="preserve">10% duty; central behavioral budget score</t>
  </si>
  <si>
    <t xml:space="preserve">High-Wealth Withholding and Compliance Recovery</t>
  </si>
  <si>
    <t xml:space="preserve">Existing unpaid liability collected at controlled intermediaries</t>
  </si>
  <si>
    <t xml:space="preserve">Collection mechanism; no new statutory tax rate</t>
  </si>
  <si>
    <t xml:space="preserve">Cross-policy overlap adjustment</t>
  </si>
  <si>
    <t xml:space="preserve">Overlap between offshore-duty and compliance-recovery channels</t>
  </si>
  <si>
    <t xml:space="preserve">Prevents double counting the same enforcement recovery</t>
  </si>
  <si>
    <t xml:space="preserve">Carbon Tax</t>
  </si>
  <si>
    <t xml:space="preserve">2024 energy-related CO2 emissions × studied $25/t × 90% mature base</t>
  </si>
  <si>
    <t xml:space="preserve">Studied rate and response; Policy Book rate was previously unspecified</t>
  </si>
  <si>
    <t xml:space="preserve">Spectrum stewardship: General Treasury share</t>
  </si>
  <si>
    <t xml:space="preserve">Auction, transfer, annual rent and vacancy fees</t>
  </si>
  <si>
    <t xml:space="preserve">Gross $12B; $6B to NIRF and $1B administration</t>
  </si>
  <si>
    <t xml:space="preserve">National laboratory patent marketplace</t>
  </si>
  <si>
    <t xml:space="preserve">Unified licensing and commercialization marketplace</t>
  </si>
  <si>
    <t xml:space="preserve">Net of $0.1B administration</t>
  </si>
  <si>
    <t xml:space="preserve">Federal Enterprise Data Services</t>
  </si>
  <si>
    <t xml:space="preserve">Enterprise subscriptions, processing and redistribution licenses</t>
  </si>
  <si>
    <t xml:space="preserve">Net of $1B operating cost</t>
  </si>
  <si>
    <t xml:space="preserve">Industrial campus leases and services</t>
  </si>
  <si>
    <t xml:space="preserve">Ground leases, utility contracts, testing, security and royalties</t>
  </si>
  <si>
    <t xml:space="preserve">Net of $5B campus operations</t>
  </si>
  <si>
    <t xml:space="preserve">Pipeline corridor capacity auctions</t>
  </si>
  <si>
    <t xml:space="preserve">National corridor capacity, ROW rents and auction fees</t>
  </si>
  <si>
    <t xml:space="preserve">Net of $0.5B administration</t>
  </si>
  <si>
    <t xml:space="preserve">Commercial space infrastructure</t>
  </si>
  <si>
    <t xml:space="preserve">Orbital, tracking, navigation and launch infrastructure services</t>
  </si>
  <si>
    <t xml:space="preserve">Net of $2B operations</t>
  </si>
  <si>
    <t xml:space="preserve">Patent troll penalties</t>
  </si>
  <si>
    <t xml:space="preserve">Covered abusive assertion penalties</t>
  </si>
  <si>
    <t xml:space="preserve">Small deterrence-based central estimate</t>
  </si>
  <si>
    <t xml:space="preserve">NIRF distributable investment return</t>
  </si>
  <si>
    <t xml:space="preserve">Mature protected corpus return under statutory transfer ceiling</t>
  </si>
  <si>
    <t xml:space="preserve">Studied $7.5T corpus, 4% real return, 50% transfer ceiling</t>
  </si>
  <si>
    <t xml:space="preserve">Unrestricted General Treasury subtotal</t>
  </si>
  <si>
    <t xml:space="preserve">All unrestricted external General revenue</t>
  </si>
  <si>
    <t xml:space="preserve">Includes newly studied methods; excludes dedicated receipts</t>
  </si>
  <si>
    <t xml:space="preserve">Gross General-administered collections</t>
  </si>
  <si>
    <t xml:space="preserve">Treasury subtotal plus Citizen Data Royalty</t>
  </si>
  <si>
    <t xml:space="preserve">General administration</t>
  </si>
  <si>
    <t xml:space="preserve">Shows universal federal collection channel</t>
  </si>
  <si>
    <t xml:space="preserve">Citizen Wealth Fund transfer</t>
  </si>
  <si>
    <t xml:space="preserve">Equal to Citizen Data Royalty</t>
  </si>
  <si>
    <t xml:space="preserve">Dedicated outlay</t>
  </si>
  <si>
    <t xml:space="preserve">Full transfer; no ordinary Treasury availability</t>
  </si>
  <si>
    <t xml:space="preserve">NIRF capital receipt: spectrum share</t>
  </si>
  <si>
    <t xml:space="preserve">Spectrum auctions and rent allocation</t>
  </si>
  <si>
    <t xml:space="preserve">Dedicated NIRF principal</t>
  </si>
  <si>
    <t xml:space="preserve">External receipt and protected asset purchase</t>
  </si>
  <si>
    <t xml:space="preserve">NHDC international license earnings</t>
  </si>
  <si>
    <t xml:space="preserve">International product and manufacturing licenses</t>
  </si>
  <si>
    <t xml:space="preserve">Dedicated healthcare</t>
  </si>
  <si>
    <t xml:space="preserve">Separate from export margin</t>
  </si>
  <si>
    <t xml:space="preserve">NLA institutional/international earnings</t>
  </si>
  <si>
    <t xml:space="preserve">Institutional servicing and international lending</t>
  </si>
  <si>
    <t xml:space="preserve">Dedicated Social Security</t>
  </si>
  <si>
    <t xml:space="preserve">Separate from domestic NLA distributable profit</t>
  </si>
  <si>
    <t xml:space="preserve">Capital Wages - Employer Social Security Base Expansion and Employer Equity Compensation Surtax</t>
  </si>
  <si>
    <t xml:space="preserve">Line</t>
  </si>
  <si>
    <t xml:space="preserve">Equity compensation base</t>
  </si>
  <si>
    <t xml:space="preserve">US public companies, latest FY, SEC EDGAR aggregate</t>
  </si>
  <si>
    <t xml:space="preserve">Carver Edison $366.7B across 1,680 issuers; Morgan Stanley Counterpoint ~$270B (2022) corroborates scale; private-company grants are upside</t>
  </si>
  <si>
    <t xml:space="preserve">Employer SS on cash wages</t>
  </si>
  <si>
    <t xml:space="preserve">Unchanged 3% employer rate</t>
  </si>
  <si>
    <t xml:space="preserve">Employer SS on capital wages</t>
  </si>
  <si>
    <t xml:space="preserve">Equity compensation at fair value on transfer/vesting/settlement</t>
  </si>
  <si>
    <t xml:space="preserve">Equity counted the same as cash; $5M grant owes $150K</t>
  </si>
  <si>
    <t xml:space="preserve">Total employer SS contribution</t>
  </si>
  <si>
    <t xml:space="preserve">Cash + capital wages</t>
  </si>
  <si>
    <t xml:space="preserve">Carried into SS_Hybrid_2024</t>
  </si>
  <si>
    <t xml:space="preserve">State/local employer subcomponent (display)</t>
  </si>
  <si>
    <t xml:space="preserve">State/local government wages</t>
  </si>
  <si>
    <t xml:space="preserve">Shown as a distinct line inside the national employer base; never additive</t>
  </si>
  <si>
    <t xml:space="preserve">Employer Equity Compensation Surtax - progressive, employer-paid, per employee per year</t>
  </si>
  <si>
    <t xml:space="preserve">Annual equity compensation per employee</t>
  </si>
  <si>
    <t xml:space="preserve">Marginal rate</t>
  </si>
  <si>
    <t xml:space="preserve">$1,000 or less</t>
  </si>
  <si>
    <t xml:space="preserve">Above $1,000 to $10,000</t>
  </si>
  <si>
    <t xml:space="preserve">$10,000 to $100,000</t>
  </si>
  <si>
    <t xml:space="preserve">$100,000 to $1,000,000</t>
  </si>
  <si>
    <t xml:space="preserve">Above $1,000,000</t>
  </si>
  <si>
    <t xml:space="preserve">Set at adoption</t>
  </si>
  <si>
    <t xml:space="preserve">Effective aggregate rate [M]</t>
  </si>
  <si>
    <t xml:space="preserve">Active aggregate implementation rate across the documented equity-compensation base; upper statutory tranche remains set at adoption</t>
  </si>
  <si>
    <t xml:space="preserve">Surtax revenue</t>
  </si>
  <si>
    <t xml:space="preserve">Active General Treasury revenue line in Tax_Revenue_2024</t>
  </si>
  <si>
    <t xml:space="preserve">Three separated tax events remain active: employer Social Security on compensation value; employer equity surtax on the same value; and employee tax on later realized appreciation. Grants aggregate per employee per employer per tax period and apply marginally.</t>
  </si>
  <si>
    <t xml:space="preserve">Corporate Tax - Gross Profit, Data-Licensing Deduction, and PolicyBook Rates</t>
  </si>
  <si>
    <t xml:space="preserve">Meaning</t>
  </si>
  <si>
    <t xml:space="preserve">Base ($B)</t>
  </si>
  <si>
    <t xml:space="preserve">Treasury Revenue ($B)</t>
  </si>
  <si>
    <t xml:space="preserve">Non-Treasury Deployment ($B)</t>
  </si>
  <si>
    <t xml:space="preserve">Gross corporate profit base</t>
  </si>
  <si>
    <t xml:space="preserve">2024 profits before tax</t>
  </si>
  <si>
    <t xml:space="preserve">BEA corporate profits before tax</t>
  </si>
  <si>
    <t xml:space="preserve">Less: data-licensing payments to individuals</t>
  </si>
  <si>
    <t xml:space="preserve">Corporate expense transferred into personal liquid income</t>
  </si>
  <si>
    <t xml:space="preserve">Avoids counting the same payment as corporate profit and personal income</t>
  </si>
  <si>
    <t xml:space="preserve">Adjusted corporate tax base</t>
  </si>
  <si>
    <t xml:space="preserve">Gross profit less modeled data-license payments</t>
  </si>
  <si>
    <t xml:space="preserve">Active central base</t>
  </si>
  <si>
    <t xml:space="preserve">Current statutory CIT rate</t>
  </si>
  <si>
    <t xml:space="preserve">Legal rate, not collection</t>
  </si>
  <si>
    <t xml:space="preserve">Current-law benchmark</t>
  </si>
  <si>
    <t xml:space="preserve">Current actual CIT receipts</t>
  </si>
  <si>
    <t xml:space="preserve">FY2024 actual federal receipts</t>
  </si>
  <si>
    <t xml:space="preserve">Benchmark</t>
  </si>
  <si>
    <t xml:space="preserve">Current effective receipts rate</t>
  </si>
  <si>
    <t xml:space="preserve">Receipts / gross base</t>
  </si>
  <si>
    <t xml:space="preserve">Formula</t>
  </si>
  <si>
    <t xml:space="preserve">Proposed minimum direct tax</t>
  </si>
  <si>
    <t xml:space="preserve">5% minimum paid after ordinary active reductions</t>
  </si>
  <si>
    <t xml:space="preserve">PolicyBook minimum except qualifying real-investment exemption</t>
  </si>
  <si>
    <t xml:space="preserve">Proposed central effective Treasury tax</t>
  </si>
  <si>
    <t xml:space="preserve">15% statutory rate after central active credits/deployment provisions</t>
  </si>
  <si>
    <t xml:space="preserve">Active revenue bridge</t>
  </si>
  <si>
    <t xml:space="preserve">Proposed statutory rate before reductions</t>
  </si>
  <si>
    <t xml:space="preserve">PolicyBook v86 corporate rate</t>
  </si>
  <si>
    <t xml:space="preserve">Ceiling before active credits</t>
  </si>
  <si>
    <t xml:space="preserve">Productive deployment channel</t>
  </si>
  <si>
    <t xml:space="preserve">Up to 5% reinvestment, bonuses, and covered support</t>
  </si>
  <si>
    <t xml:space="preserve">Not Treasury revenue</t>
  </si>
  <si>
    <t xml:space="preserve">Social Security - Expanded Liquid-Income Active Mature Replacement Year</t>
  </si>
  <si>
    <t xml:space="preserve">Current OASDI income</t>
  </si>
  <si>
    <t xml:space="preserve">SSA 2024</t>
  </si>
  <si>
    <t xml:space="preserve">Gross OASDI cost before payment-accuracy saving</t>
  </si>
  <si>
    <t xml:space="preserve">SSA 2024 gross cost</t>
  </si>
  <si>
    <t xml:space="preserve">Published gross benchmark; the dynamic path deducts the separately booked $6B payment-accuracy saving</t>
  </si>
  <si>
    <t xml:space="preserve">Citizen contribution</t>
  </si>
  <si>
    <t xml:space="preserve">3% of expanded liquid personal income</t>
  </si>
  <si>
    <t xml:space="preserve">Uncapped; includes pensions, annuities, legal/misc cash, foreign cash, royalties, and data-licensing income</t>
  </si>
  <si>
    <t xml:space="preserve">Employer contribution</t>
  </si>
  <si>
    <t xml:space="preserve">3% of all compensation: wages plus equity at fair value</t>
  </si>
  <si>
    <t xml:space="preserve">Capital wages covered; see Equity_Compensation</t>
  </si>
  <si>
    <t xml:space="preserve">  of which: state/local government employers (display)</t>
  </si>
  <si>
    <t xml:space="preserve">3% of state/local wages</t>
  </si>
  <si>
    <t xml:space="preserve">Distinct subcomponent; already inside the wage base; never counted twice</t>
  </si>
  <si>
    <t xml:space="preserve">Hybrid SS subtotal</t>
  </si>
  <si>
    <t xml:space="preserve">Citizen + employer</t>
  </si>
  <si>
    <t xml:space="preserve">Before NLA transfer</t>
  </si>
  <si>
    <t xml:space="preserve">Mature NLA profit transfer (baseline)</t>
  </si>
  <si>
    <t xml:space="preserve">Audited distributable NLA profit at mature scale</t>
  </si>
  <si>
    <t xml:space="preserve">Mature replacement system is the headline baseline; initial/central are transition sensitivities</t>
  </si>
  <si>
    <t xml:space="preserve">Trust investment income (central)</t>
  </si>
  <si>
    <t xml:space="preserve">50% CWF index / 50% diversified on reserves</t>
  </si>
  <si>
    <t xml:space="preserve">Income generated from protected $2.7T trust floor</t>
  </si>
  <si>
    <t xml:space="preserve">SS funding at mature baseline</t>
  </si>
  <si>
    <t xml:space="preserve">Hybrid + mature NLA + trust income</t>
  </si>
  <si>
    <t xml:space="preserve">Dedicated funding</t>
  </si>
  <si>
    <t xml:space="preserve">SS surplus/gap at mature baseline before RCN and payment accuracy</t>
  </si>
  <si>
    <t xml:space="preserve">Funding minus $1.485T gross cost</t>
  </si>
  <si>
    <t xml:space="preserve">Gross-cost view; later tables show the $1.479T net obligation after the $6B dedicated payment-accuracy saving</t>
  </si>
  <si>
    <t xml:space="preserve">Noncitizen 7%/7% incremental contribution</t>
  </si>
  <si>
    <t xml:space="preserve">Noncitizen liquid income + employer compensation above baseline 3%/3%</t>
  </si>
  <si>
    <t xml:space="preserve">See Noncitizen_SS_Model</t>
  </si>
  <si>
    <t xml:space="preserve">Noncitizen OASDI benefit exclusion saving</t>
  </si>
  <si>
    <t xml:space="preserve">Central modeled mature-year amount</t>
  </si>
  <si>
    <t xml:space="preserve">No benefits accrue while noncitizen</t>
  </si>
  <si>
    <t xml:space="preserve">Revised SS surplus/gap after citizen-only policy</t>
  </si>
  <si>
    <t xml:space="preserve">Funding plus savings less OASDI cost</t>
  </si>
  <si>
    <t xml:space="preserve">Before healthcare waterfall</t>
  </si>
  <si>
    <t xml:space="preserve">Central NLA year</t>
  </si>
  <si>
    <t xml:space="preserve">Intermediate gap</t>
  </si>
  <si>
    <t xml:space="preserve">Gap-closure levers sit in Gap_Closure. Expanded income materially narrows the SS gap while preserving the adopted 3% citizen and 3% employer rates.</t>
  </si>
  <si>
    <t xml:space="preserve">Residual Funding Gaps - Offshore Duty and High-Wealth Recovery Added</t>
  </si>
  <si>
    <t xml:space="preserve">U.S.-company foreign operating expansion is carved out of the Offshore Capital Export Duty. Passive wealth export remains covered.</t>
  </si>
  <si>
    <t xml:space="preserve">Measure / lever</t>
  </si>
  <si>
    <t xml:space="preserve">Amount ($B) or rate</t>
  </si>
  <si>
    <t xml:space="preserve">Pre-change consolidated replacement gap</t>
  </si>
  <si>
    <t xml:space="preserve">v23 baseline</t>
  </si>
  <si>
    <t xml:space="preserve">Energy Export Excise increase, 4% to 5%</t>
  </si>
  <si>
    <t xml:space="preserve">Automatic deficit-year setting</t>
  </si>
  <si>
    <t xml:space="preserve">Idle Wealth Levy, central case</t>
  </si>
  <si>
    <t xml:space="preserve">1% of direct and managed nonproductive financial-reserve bases</t>
  </si>
  <si>
    <t xml:space="preserve">Central score after full direct-investment expansion carveout</t>
  </si>
  <si>
    <t xml:space="preserve">High-Wealth withholding and compliance recovery</t>
  </si>
  <si>
    <t xml:space="preserve">Existing liabilities collected earlier and more completely</t>
  </si>
  <si>
    <t xml:space="preserve">Prevents double counting</t>
  </si>
  <si>
    <t xml:space="preserve">Revised consolidated replacement balance</t>
  </si>
  <si>
    <t xml:space="preserve">Positive = recurring surplus</t>
  </si>
  <si>
    <t xml:space="preserve">Revised General Government balance before SS support</t>
  </si>
  <si>
    <t xml:space="preserve">Healthcare and SS ledgers unchanged</t>
  </si>
  <si>
    <t xml:space="preserve">Social Security dedicated gap</t>
  </si>
  <si>
    <t xml:space="preserve">Still visible as a dedicated-ledger gap</t>
  </si>
  <si>
    <t xml:space="preserve">Healthcare dedicated reserve</t>
  </si>
  <si>
    <t xml:space="preserve">Still retained in Healthcare</t>
  </si>
  <si>
    <t xml:space="preserve">Previous v25 consolidated balance</t>
  </si>
  <si>
    <t xml:space="preserve">Current-system unified federal balance</t>
  </si>
  <si>
    <t xml:space="preserve">FY2024 benchmark</t>
  </si>
  <si>
    <t xml:space="preserve">Further reserve mechanisms</t>
  </si>
  <si>
    <t xml:space="preserve">NIRF and spectrum revenue remain unbooked until fiscal valuation is completed</t>
  </si>
  <si>
    <t xml:space="preserve">Social Security Trust Investment - Protected $2.7T Floor | 50% Citizen Wealth Fund Index / 50% Diversified</t>
  </si>
  <si>
    <t xml:space="preserve">Rate/Share</t>
  </si>
  <si>
    <t xml:space="preserve">OASDI asset reserves (end 2024)</t>
  </si>
  <si>
    <t xml:space="preserve">Statutory minimum corpus protected by Treasury backstop</t>
  </si>
  <si>
    <t xml:space="preserve">CWF index sleeve share</t>
  </si>
  <si>
    <t xml:space="preserve">Statutory allocation</t>
  </si>
  <si>
    <t xml:space="preserve">50% in Citizen Wealth Fund index</t>
  </si>
  <si>
    <t xml:space="preserve">Diversified sleeve share</t>
  </si>
  <si>
    <t xml:space="preserve">Bonds/hard reserves/stable holdings</t>
  </si>
  <si>
    <t xml:space="preserve">Remaining 50%</t>
  </si>
  <si>
    <t xml:space="preserve">CWF index long-run nominal return (central)</t>
  </si>
  <si>
    <t xml:space="preserve">US equity total return 1928-2024</t>
  </si>
  <si>
    <t xml:space="preserve">Damodaran/NYU historical returns</t>
  </si>
  <si>
    <t xml:space="preserve">Diversified sleeve yield (central)</t>
  </si>
  <si>
    <t xml:space="preserve">10-year Treasury, 2024 average</t>
  </si>
  <si>
    <t xml:space="preserve">FRED DGS10</t>
  </si>
  <si>
    <t xml:space="preserve">Scenario</t>
  </si>
  <si>
    <t xml:space="preserve">Blended yield</t>
  </si>
  <si>
    <t xml:space="preserve">Trust investment income ($B)</t>
  </si>
  <si>
    <t xml:space="preserve">Assumption</t>
  </si>
  <si>
    <t xml:space="preserve">Conservative</t>
  </si>
  <si>
    <t xml:space="preserve">Equity sleeve at 8.0%</t>
  </si>
  <si>
    <t xml:space="preserve">Central</t>
  </si>
  <si>
    <t xml:space="preserve">Equity at 9.9%, bonds at 4.4%</t>
  </si>
  <si>
    <t xml:space="preserve">Optimistic</t>
  </si>
  <si>
    <t xml:space="preserve">Equity sleeve at 11.0%</t>
  </si>
  <si>
    <t xml:space="preserve">Current-law comparison</t>
  </si>
  <si>
    <t xml:space="preserve">Special-issue effective rate (approx.)</t>
  </si>
  <si>
    <t xml:space="preserve">SSA trust fund interest rates</t>
  </si>
  <si>
    <t xml:space="preserve">Incremental income, central vs current</t>
  </si>
  <si>
    <t xml:space="preserve">Yield gained by investing the trust</t>
  </si>
  <si>
    <t xml:space="preserve">The allocation is fixed in statute at 50% Citizen Wealth Fund index and 50% diversified holdings, rebalanced on schedule and published in full at every audit. Returns are long-run nominal averages; single-year sequence-of-returns risk requires the diversified sleeve and reserve discipline during the transition. Central income is carried into the Social Security funding bridge.</t>
  </si>
  <si>
    <t xml:space="preserve">Healthcare - Expanded Liquid-Income Active Mature Replacement Year</t>
  </si>
  <si>
    <t xml:space="preserve">Layer</t>
  </si>
  <si>
    <t xml:space="preserve">Current healthcare baseline</t>
  </si>
  <si>
    <t xml:space="preserve">CMS 2024 NHE</t>
  </si>
  <si>
    <t xml:space="preserve">Current cost</t>
  </si>
  <si>
    <t xml:space="preserve">Gross-price current system</t>
  </si>
  <si>
    <t xml:space="preserve">Conservative structural savings</t>
  </si>
  <si>
    <t xml:space="preserve">20% cost reduction</t>
  </si>
  <si>
    <t xml:space="preserve">Cost reduction</t>
  </si>
  <si>
    <t xml:space="preserve">Conservative floor</t>
  </si>
  <si>
    <t xml:space="preserve">Proposed cost target at 20% savings</t>
  </si>
  <si>
    <t xml:space="preserve">NHE less savings</t>
  </si>
  <si>
    <t xml:space="preserve">Cost target</t>
  </si>
  <si>
    <t xml:space="preserve">Funding target</t>
  </si>
  <si>
    <t xml:space="preserve">Citizen-paid HSA</t>
  </si>
  <si>
    <t xml:space="preserve">Tiered 2/3/5% on liquid personal income</t>
  </si>
  <si>
    <t xml:space="preserve">HSA basic care</t>
  </si>
  <si>
    <t xml:space="preserve">Tier mix share 72.527% retained from v18 [M]; expanded liquid-income base applies</t>
  </si>
  <si>
    <t xml:space="preserve">Federal HSA supplement</t>
  </si>
  <si>
    <t xml:space="preserve">Top-up to the 5% citizen-side credit on liquid income</t>
  </si>
  <si>
    <t xml:space="preserve">Federal top-up to maintain the full 5% citizen-side HSA funding floor</t>
  </si>
  <si>
    <t xml:space="preserve">Employer HSA match</t>
  </si>
  <si>
    <t xml:space="preserve">5% of wages</t>
  </si>
  <si>
    <t xml:space="preserve">Portable worker-owned HSA</t>
  </si>
  <si>
    <t xml:space="preserve">Total HSA basic/direct care pool</t>
  </si>
  <si>
    <t xml:space="preserve">Citizen + federal + employer</t>
  </si>
  <si>
    <t xml:space="preserve">Routine/direct care</t>
  </si>
  <si>
    <t xml:space="preserve">Redirected current federal health pool</t>
  </si>
  <si>
    <t xml:space="preserve">NHDC catastrophic/public</t>
  </si>
  <si>
    <t xml:space="preserve">Transfer from the General Government silo</t>
  </si>
  <si>
    <t xml:space="preserve">State/local governmental healthcare funding</t>
  </si>
  <si>
    <t xml:space="preserve">Retained sponsor funding net of employer channels</t>
  </si>
  <si>
    <t xml:space="preserve">Shift: state/local funding is retained in the national floor; employer-channel dollars removed to prevent double count</t>
  </si>
  <si>
    <t xml:space="preserve">NHDC domestic operating margin</t>
  </si>
  <si>
    <t xml:space="preserve">Domestic manufacturing under the three-times-cost ceiling</t>
  </si>
  <si>
    <t xml:space="preserve">Internal operating result</t>
  </si>
  <si>
    <t xml:space="preserve">Retained inside the healthcare system but excluded from external funding to avoid double counting patient payments</t>
  </si>
  <si>
    <t xml:space="preserve">NHDC International Exports margin</t>
  </si>
  <si>
    <t xml:space="preserve">Mature export scenario (baseline)</t>
  </si>
  <si>
    <t xml:space="preserve">External healthcare funding</t>
  </si>
  <si>
    <t xml:space="preserve">Foreign customer funds the domestic mission; see NHDC_Exports</t>
  </si>
  <si>
    <t xml:space="preserve">Public hospital operating surplus</t>
  </si>
  <si>
    <t xml:space="preserve">Public hospital operating result</t>
  </si>
  <si>
    <t xml:space="preserve">Retained for operations and improvements but excluded from external funding</t>
  </si>
  <si>
    <t xml:space="preserve">Sin sales surtax earmark</t>
  </si>
  <si>
    <t xml:space="preserve">5% of vice sales (§2)</t>
  </si>
  <si>
    <t xml:space="preserve">Statutory routing; excluded from Treasury</t>
  </si>
  <si>
    <t xml:space="preserve">External catastrophic/public-care funding</t>
  </si>
  <si>
    <t xml:space="preserve">Federal sponsor + state/local + exports + sin surtax</t>
  </si>
  <si>
    <t xml:space="preserve">Excludes domestic NHDC margin and public-hospital surplus</t>
  </si>
  <si>
    <t xml:space="preserve">Employer Catastrophic Care-Pool contribution</t>
  </si>
  <si>
    <t xml:space="preserve">Catastrophic pool</t>
  </si>
  <si>
    <t xml:space="preserve">Restricted national care pool</t>
  </si>
  <si>
    <t xml:space="preserve">Total external healthcare funding</t>
  </si>
  <si>
    <t xml:space="preserve">HSA + external catastrophic/public + employer pool</t>
  </si>
  <si>
    <t xml:space="preserve">All layers</t>
  </si>
  <si>
    <t xml:space="preserve">No internal provider margin counted as new funding</t>
  </si>
  <si>
    <t xml:space="preserve">Healthcare reserve/gap at 20% savings</t>
  </si>
  <si>
    <t xml:space="preserve">Funding - cost target</t>
  </si>
  <si>
    <t xml:space="preserve">Result</t>
  </si>
  <si>
    <t xml:space="preserve">Positive = reserve</t>
  </si>
  <si>
    <t xml:space="preserve">Central 22% savings target</t>
  </si>
  <si>
    <t xml:space="preserve">NHE less 22%</t>
  </si>
  <si>
    <t xml:space="preserve">Sensitivity</t>
  </si>
  <si>
    <t xml:space="preserve">Reference central estimate</t>
  </si>
  <si>
    <t xml:space="preserve">Reserve/gap at 22%</t>
  </si>
  <si>
    <t xml:space="preserve">Funding - 22% target</t>
  </si>
  <si>
    <t xml:space="preserve">Internal retained operating margins</t>
  </si>
  <si>
    <t xml:space="preserve">NHDC domestic margin + public-hospital surplus</t>
  </si>
  <si>
    <t xml:space="preserve">Memo only</t>
  </si>
  <si>
    <t xml:space="preserve">Shown for transparency; excluded from funding and consolidated revenue</t>
  </si>
  <si>
    <t xml:space="preserve">State supplements above the national floor are state-funded and remain outside this national average-year breakeven. Transition costs, capital build-out, and unrelated general policies are not included in this replacement baseline.</t>
  </si>
  <si>
    <t xml:space="preserve">NHDC International Exports - Three-Times-Cost Ceiling for the Citizen, At Market for the World</t>
  </si>
  <si>
    <t xml:space="preserve">Share/Margin</t>
  </si>
  <si>
    <t xml:space="preserve">Statista / Grand View</t>
  </si>
  <si>
    <t xml:space="preserve">Addressable export market</t>
  </si>
  <si>
    <t xml:space="preserve">Net export margin assumption</t>
  </si>
  <si>
    <t xml:space="preserve">Public producer under a domestic three-times-cost ceiling selling abroad at market prices; no marketing or shareholder cost</t>
  </si>
  <si>
    <t xml:space="preserve">Scenario assumption; documented, not sourced</t>
  </si>
  <si>
    <t xml:space="preserve">Global share</t>
  </si>
  <si>
    <t xml:space="preserve">Export revenue ($B)</t>
  </si>
  <si>
    <t xml:space="preserve">Net margin to catastrophic fund ($B)</t>
  </si>
  <si>
    <t xml:space="preserve">Initial</t>
  </si>
  <si>
    <t xml:space="preserve">Mature</t>
  </si>
  <si>
    <t xml:space="preserve">Every dollar of export margin routes to the domestic mission: the catastrophic care fund, safety-net hospitals, and expanded manufacturing capacity. The central scenario (20% global share) reflects a state manufacturer with US regulatory standing undercutting global generic cartels; India today supplies roughly 40% of US generic volume, so large single-nation shares are precedented. Domestic essential generics sell under a statutory price ceiling of three times cost (maximum 200% margin), with the headroom retiring research and development cost; domestic profit remains inside the Healthcare silo and is never Treasury revenue. The mature scenario is the replacement-budget baseline.</t>
  </si>
  <si>
    <t xml:space="preserve">Employer Burden - Current Benchmark vs Proposed 3+5+5</t>
  </si>
  <si>
    <t xml:space="preserve">Current ($B)</t>
  </si>
  <si>
    <t xml:space="preserve">Proposed ($B)</t>
  </si>
  <si>
    <t xml:space="preserve">Formula/Basis</t>
  </si>
  <si>
    <t xml:space="preserve">% Payroll</t>
  </si>
  <si>
    <t xml:space="preserve">Employer gov social-insurance contributions</t>
  </si>
  <si>
    <t xml:space="preserve">Current FRED benchmark</t>
  </si>
  <si>
    <t xml:space="preserve">Current</t>
  </si>
  <si>
    <t xml:space="preserve">CMS private business health sponsor pool</t>
  </si>
  <si>
    <t xml:space="preserve">Current employer burden benchmark</t>
  </si>
  <si>
    <t xml:space="preserve">Current social + health</t>
  </si>
  <si>
    <t xml:space="preserve">Broad benchmark</t>
  </si>
  <si>
    <t xml:space="preserve">Social Security employer match</t>
  </si>
  <si>
    <t xml:space="preserve">3% wages</t>
  </si>
  <si>
    <t xml:space="preserve">Payroll-based</t>
  </si>
  <si>
    <t xml:space="preserve">Portable HSA match</t>
  </si>
  <si>
    <t xml:space="preserve">5% wages</t>
  </si>
  <si>
    <t xml:space="preserve">Minimum; employers can offer more</t>
  </si>
  <si>
    <t xml:space="preserve">Catastrophic Care-Pool contribution</t>
  </si>
  <si>
    <t xml:space="preserve">National pool</t>
  </si>
  <si>
    <t xml:space="preserve">Proposed employer burden</t>
  </si>
  <si>
    <t xml:space="preserve">13% payroll</t>
  </si>
  <si>
    <t xml:space="preserve">Stable payroll-based</t>
  </si>
  <si>
    <t xml:space="preserve">Employer burden reduction / increase</t>
  </si>
  <si>
    <t xml:space="preserve">Current - proposed</t>
  </si>
  <si>
    <t xml:space="preserve">Positive = savings</t>
  </si>
  <si>
    <t xml:space="preserve">Small-business relief/credit pool</t>
  </si>
  <si>
    <t xml:space="preserve">General-budget surge reserve</t>
  </si>
  <si>
    <t xml:space="preserve">Transition relief plus national-lockdown/disaster surge fund; the reserve also serves as the administrative chassis for emergency appropriations, so $10B is standing capacity and the pipe, not the ceiling.</t>
  </si>
  <si>
    <t xml:space="preserve">External LVT Validation - Federalized Land-Rent Capture by Land Type</t>
  </si>
  <si>
    <t xml:space="preserve">Land / benchmark type</t>
  </si>
  <si>
    <t xml:space="preserve">External value</t>
  </si>
  <si>
    <t xml:space="preserve">Units</t>
  </si>
  <si>
    <t xml:space="preserve">Illustrative treatment</t>
  </si>
  <si>
    <t xml:space="preserve">Illustrative rate</t>
  </si>
  <si>
    <t xml:space="preserve">Potential revenue ($B)</t>
  </si>
  <si>
    <t xml:space="preserve">Validation limitation</t>
  </si>
  <si>
    <t xml:space="preserve">Current state/local property-tax collections</t>
  </si>
  <si>
    <t xml:space="preserve">$B</t>
  </si>
  <si>
    <t xml:space="preserve">Replacement benchmark</t>
  </si>
  <si>
    <t xml:space="preserve">Includes improvements as well as land; benchmark only.</t>
  </si>
  <si>
    <t xml:space="preserve">U.S. farm real estate</t>
  </si>
  <si>
    <t xml:space="preserve">$/acre</t>
  </si>
  <si>
    <t xml:space="preserve">Agricultural reference</t>
  </si>
  <si>
    <t xml:space="preserve">https://www.nass.usda.gov/Publications/Todays_Reports/reports/land0824.pdf</t>
  </si>
  <si>
    <t xml:space="preserve">Farm real estate includes land and buildings.</t>
  </si>
  <si>
    <t xml:space="preserve">U.S. cropland</t>
  </si>
  <si>
    <t xml:space="preserve">Lower-rate productive land</t>
  </si>
  <si>
    <t xml:space="preserve">Per-acre national average; acreage/appraisal needed.</t>
  </si>
  <si>
    <t xml:space="preserve">U.S. pasture</t>
  </si>
  <si>
    <t xml:space="preserve">Lower-rate grazing land</t>
  </si>
  <si>
    <t xml:space="preserve">Household/nonprofit real estate</t>
  </si>
  <si>
    <t xml:space="preserve">Residential scale anchor; primary homes exempt operationally</t>
  </si>
  <si>
    <t xml:space="preserve">https://fred.stlouisfed.org/series/HNOREMV</t>
  </si>
  <si>
    <t xml:space="preserve">Land and structures combined; Q1 2026 scale anchor, not taxable base.</t>
  </si>
  <si>
    <t xml:space="preserve">Nonfinancial corporate real estate</t>
  </si>
  <si>
    <t xml:space="preserve">Commercial/industrial scale anchor</t>
  </si>
  <si>
    <t xml:space="preserve">https://fred.stlouisfed.org/series/BOGZ1LM105035005A</t>
  </si>
  <si>
    <t xml:space="preserve">Land and structures combined.</t>
  </si>
  <si>
    <t xml:space="preserve">Noncorporate business real estate</t>
  </si>
  <si>
    <t xml:space="preserve">Rental/commercial scale anchor</t>
  </si>
  <si>
    <t xml:space="preserve">https://fred.stlouisfed.org/series/NNCBIRER</t>
  </si>
  <si>
    <t xml:space="preserve">Land and structures combined; Q1 2026 scale anchor.</t>
  </si>
  <si>
    <t xml:space="preserve">Vacant/speculative urban land</t>
  </si>
  <si>
    <t xml:space="preserve">Parcel appraisal required</t>
  </si>
  <si>
    <t xml:space="preserve">-</t>
  </si>
  <si>
    <t xml:space="preserve">Higher capture rate</t>
  </si>
  <si>
    <t xml:space="preserve">Local assessment rolls / federal parcel model</t>
  </si>
  <si>
    <t xml:space="preserve">No national land-only total presently used.</t>
  </si>
  <si>
    <t xml:space="preserve">Second homes / non-primary residential land</t>
  </si>
  <si>
    <t xml:space="preserve">Residential LVT applies</t>
  </si>
  <si>
    <t xml:space="preserve">County assessment records / federal parcel model</t>
  </si>
  <si>
    <t xml:space="preserve">Primary residence exemption must be separated parcel by parcel.</t>
  </si>
  <si>
    <t xml:space="preserve">Mineral rights / extraction lease value</t>
  </si>
  <si>
    <t xml:space="preserve">Royalty model separate</t>
  </si>
  <si>
    <t xml:space="preserve">Avoid double counting with resource royalty</t>
  </si>
  <si>
    <t xml:space="preserve">Federal/state lease records</t>
  </si>
  <si>
    <t xml:space="preserve">LVT applies to location rent; extraction royalty applies to removed resource.</t>
  </si>
  <si>
    <t xml:space="preserve">Model target reconciliation</t>
  </si>
  <si>
    <t xml:space="preserve">Formula / status</t>
  </si>
  <si>
    <t xml:space="preserve">Current property-tax replacement benchmark</t>
  </si>
  <si>
    <t xml:space="preserve">Externally benchmarked</t>
  </si>
  <si>
    <t xml:space="preserve">Policy target pending parcel-level validation</t>
  </si>
  <si>
    <t xml:space="preserve">Additional federal land-rent capture</t>
  </si>
  <si>
    <t xml:space="preserve">Target less current benchmark</t>
  </si>
  <si>
    <t xml:space="preserve">LVT scale ratio</t>
  </si>
  <si>
    <t xml:space="preserve">Target / property-tax benchmark</t>
  </si>
  <si>
    <t xml:space="preserve">The LVT target is retained as a policy scenario, not represented as fully proven. A national parcel-level model must separate land from improvements, primary residences from taxable residential land, and productive agricultural land from speculative or high-rent urban land.</t>
  </si>
  <si>
    <t xml:space="preserve">IMPLIED CAPTURE RATE AGAINST THE FEDERAL RESERVE REAL-ESTATE ENVELOPE</t>
  </si>
  <si>
    <t xml:space="preserve">Measure</t>
  </si>
  <si>
    <t xml:space="preserve">Value</t>
  </si>
  <si>
    <t xml:space="preserve">Unit</t>
  </si>
  <si>
    <t xml:space="preserve">Interpretation</t>
  </si>
  <si>
    <t xml:space="preserve">Status</t>
  </si>
  <si>
    <t xml:space="preserve">Limitation</t>
  </si>
  <si>
    <t xml:space="preserve">Combined Fed real-estate envelope</t>
  </si>
  <si>
    <t xml:space="preserve">Household/nonprofit + corporate + noncorporate real estate</t>
  </si>
  <si>
    <t xml:space="preserve">Broad upper envelope that includes structures</t>
  </si>
  <si>
    <t xml:space="preserve">Federal Reserve/FRED series listed above</t>
  </si>
  <si>
    <t xml:space="preserve">External</t>
  </si>
  <si>
    <t xml:space="preserve">Not land-only</t>
  </si>
  <si>
    <t xml:space="preserve">Active policy target</t>
  </si>
  <si>
    <t xml:space="preserve">Booked revenue</t>
  </si>
  <si>
    <t xml:space="preserve">Policy model</t>
  </si>
  <si>
    <t xml:space="preserve">Adopted</t>
  </si>
  <si>
    <t xml:space="preserve">Pending parcel validation</t>
  </si>
  <si>
    <t xml:space="preserve">Target / full real-estate envelope</t>
  </si>
  <si>
    <t xml:space="preserve">Annual share</t>
  </si>
  <si>
    <t xml:space="preserve">LVT target divided by land-and-structures envelope</t>
  </si>
  <si>
    <t xml:space="preserve">Lower-bound implied capture rate because structures and exempt primary homes remain in the denominator</t>
  </si>
  <si>
    <t xml:space="preserve">Calculated</t>
  </si>
  <si>
    <t xml:space="preserve">True taxable-land rate will be higher</t>
  </si>
  <si>
    <t xml:space="preserve">Illustrative taxable land-only base</t>
  </si>
  <si>
    <t xml:space="preserve">40% land share × 50% taxable share after exemptions</t>
  </si>
  <si>
    <t xml:space="preserve">Central disclosure scenario, not a parcel estimate</t>
  </si>
  <si>
    <t xml:space="preserve">Model disclosure assumption</t>
  </si>
  <si>
    <t xml:space="preserve">Illustrative</t>
  </si>
  <si>
    <t xml:space="preserve">Actual land and exemption shares require parcel data</t>
  </si>
  <si>
    <t xml:space="preserve">Implied rate on illustrative taxable land-only base</t>
  </si>
  <si>
    <t xml:space="preserve">LVT target divided by illustrative taxable land-only base</t>
  </si>
  <si>
    <t xml:space="preserve">Shows the parcel study must validate a materially higher land-only rate</t>
  </si>
  <si>
    <t xml:space="preserve">Sensitivity, not legal validation</t>
  </si>
  <si>
    <t xml:space="preserve">Land share</t>
  </si>
  <si>
    <t xml:space="preserve">Taxable share after exemptions</t>
  </si>
  <si>
    <t xml:space="preserve">Taxable land base ($B)</t>
  </si>
  <si>
    <t xml:space="preserve">Implied annual LVT rate</t>
  </si>
  <si>
    <t xml:space="preserve">Illustrative sensitivity; parcel model required</t>
  </si>
  <si>
    <t xml:space="preserve">1% National Resource Royalty - Extraction from U.S. Soil</t>
  </si>
  <si>
    <t xml:space="preserve">Covered scope</t>
  </si>
  <si>
    <t xml:space="preserve">2024 base ($B)</t>
  </si>
  <si>
    <t xml:space="preserve">Model status</t>
  </si>
  <si>
    <t xml:space="preserve">Mining, quarrying, oil and gas extraction</t>
  </si>
  <si>
    <t xml:space="preserve">Core</t>
  </si>
  <si>
    <t xml:space="preserve">Covers oil, natural gas, coal, rare earths, precious/base metals, industrial minerals, quarrying, uranium, and peat where captured in NAICS 21 gross output.</t>
  </si>
  <si>
    <t xml:space="preserve">Forestry and logging proxy</t>
  </si>
  <si>
    <t xml:space="preserve">Conservative proxy</t>
  </si>
  <si>
    <t xml:space="preserve">Uses 2024 real GDP for forestry, fishing and related activities because a clean national forestry-only gross-output series was not available in the model. Replace with BEA forestry/logging gross receipts when available.</t>
  </si>
  <si>
    <t xml:space="preserve">https://fred.stlouisfed.org/series/USFRSTFISHRGSP</t>
  </si>
  <si>
    <t xml:space="preserve">Core royalty including forestry</t>
  </si>
  <si>
    <t xml:space="preserve">The royalty is assessed on gross extraction sales/output before downstream refining or manufacturing. Small-producer relief may be appropriated separately, but the royalty itself remains a national return on removed natural wealth.</t>
  </si>
  <si>
    <t xml:space="preserve">Expanded Revenue, Cost Discipline, Resident Contributor, and National Continuity Budget - Average Mature Year (v32)</t>
  </si>
  <si>
    <t xml:space="preserve">Adds the Offshore Capital Export Duty with a full U.S.-company foreign-expansion carveout, plus High-Wealth Withholding and Compliance Recovery.</t>
  </si>
  <si>
    <t xml:space="preserve">TABLE 0 - OLD MODEL BENCHMARK (FY2024)</t>
  </si>
  <si>
    <t xml:space="preserve">Current federal receipts</t>
  </si>
  <si>
    <t xml:space="preserve">Unified federal benchmark</t>
  </si>
  <si>
    <t xml:space="preserve">Current unified federal balance</t>
  </si>
  <si>
    <t xml:space="preserve">Receipts less outlays</t>
  </si>
  <si>
    <t xml:space="preserve">Includes current-law trust interest</t>
  </si>
  <si>
    <t xml:space="preserve">Current OASDI cost</t>
  </si>
  <si>
    <t xml:space="preserve">Annual obligation</t>
  </si>
  <si>
    <t xml:space="preserve">Current OASDI balance</t>
  </si>
  <si>
    <t xml:space="preserve">Income less cost</t>
  </si>
  <si>
    <t xml:space="preserve">Current national health expenditure</t>
  </si>
  <si>
    <t xml:space="preserve">National cost benchmark</t>
  </si>
  <si>
    <t xml:space="preserve">TABLE 1 - GENERAL GOVERNMENT FUNDING</t>
  </si>
  <si>
    <t xml:space="preserve">Unrestricted General Treasury revenue</t>
  </si>
  <si>
    <t xml:space="preserve">Excludes dedicated Citizen Data Royalty</t>
  </si>
  <si>
    <t xml:space="preserve">Citizen Data Royalty collection</t>
  </si>
  <si>
    <t xml:space="preserve">Externally collected through General Government</t>
  </si>
  <si>
    <t xml:space="preserve">Gross General-administered revenue</t>
  </si>
  <si>
    <t xml:space="preserve">Treasury plus dedicated royalty</t>
  </si>
  <si>
    <t xml:space="preserve">Ordinary federal outlays</t>
  </si>
  <si>
    <t xml:space="preserve">FY2024 ordinary outlays less OASDI, current federal healthcare, and $164B mature-year cost savings</t>
  </si>
  <si>
    <t xml:space="preserve">Federal health sponsor transfer</t>
  </si>
  <si>
    <t xml:space="preserve">Internal transfer into Healthcare ledger</t>
  </si>
  <si>
    <t xml:space="preserve">Equal to Citizen Data Royalty collection</t>
  </si>
  <si>
    <t xml:space="preserve">Small Business Surge Reserve</t>
  </si>
  <si>
    <t xml:space="preserve">Standing General Government reserve active in ordinary years</t>
  </si>
  <si>
    <t xml:space="preserve">General Government balance before SS support</t>
  </si>
  <si>
    <t xml:space="preserve">Potential Treasury transfer to close SS gap</t>
  </si>
  <si>
    <t xml:space="preserve">Memo only; not included in row 23</t>
  </si>
  <si>
    <t xml:space="preserve">TABLE 2 - NATIONAL HEALTHCARE FUNDING</t>
  </si>
  <si>
    <t xml:space="preserve">Includes federal internal transfers on this ledger</t>
  </si>
  <si>
    <t xml:space="preserve">National health expenditure at 20% savings</t>
  </si>
  <si>
    <t xml:space="preserve">Average mature-year cost target</t>
  </si>
  <si>
    <t xml:space="preserve">Healthcare balance</t>
  </si>
  <si>
    <t xml:space="preserve">Positive = dedicated reserve</t>
  </si>
  <si>
    <t xml:space="preserve">Internal NHDC/public-hospital margins</t>
  </si>
  <si>
    <t xml:space="preserve">Optional state supplements and transition capital</t>
  </si>
  <si>
    <t xml:space="preserve">Outside the national breakeven</t>
  </si>
  <si>
    <t xml:space="preserve">TABLE 3 - SOCIAL SECURITY FUNDING</t>
  </si>
  <si>
    <t xml:space="preserve">Total dedicated SS funding</t>
  </si>
  <si>
    <t xml:space="preserve">Citizen + employer + mature NLA + protected trust return + RCN increment + NCC amount needed for breakeven</t>
  </si>
  <si>
    <t xml:space="preserve">OASDI cost target</t>
  </si>
  <si>
    <t xml:space="preserve">Social Security balance</t>
  </si>
  <si>
    <t xml:space="preserve">General support can close row 38 without changing the consolidated result.</t>
  </si>
  <si>
    <t xml:space="preserve">TABLE 4 - CONSOLIDATED REPLACEMENT RESULT</t>
  </si>
  <si>
    <t xml:space="preserve">General Government balance</t>
  </si>
  <si>
    <t xml:space="preserve">General Government balance including federal SSI savings; before any residual SS backstop</t>
  </si>
  <si>
    <t xml:space="preserve">Healthcare is independent; reserve and residual public-capital allocations remain within its ledger</t>
  </si>
  <si>
    <t xml:space="preserve">Balanced after RCN effects and NCC transfer</t>
  </si>
  <si>
    <t xml:space="preserve">Consolidated replacement balance</t>
  </si>
  <si>
    <t xml:space="preserve">Year 10 maturity result with the NLA ramp modeled from startup</t>
  </si>
  <si>
    <t xml:space="preserve">Improvement vs current unified federal deficit</t>
  </si>
  <si>
    <t xml:space="preserve">Directional comparison; channel scope differs</t>
  </si>
  <si>
    <t xml:space="preserve">NCC transfer to Social Security</t>
  </si>
  <si>
    <t xml:space="preserve">Year 10 NCC contribution routed to Social Security</t>
  </si>
  <si>
    <t xml:space="preserve">General balance after SS support</t>
  </si>
  <si>
    <t xml:space="preserve">Consolidated check after SS support</t>
  </si>
  <si>
    <t xml:space="preserve">Consolidated check after NCC and internal allocations</t>
  </si>
  <si>
    <t xml:space="preserve">TABLE 5 - REVENUE PRESENTATION CONTROL</t>
  </si>
  <si>
    <t xml:space="preserve">Total Government Revenue</t>
  </si>
  <si>
    <t xml:space="preserve">Year 10 total, including dedicated receipts and gross NCC once</t>
  </si>
  <si>
    <t xml:space="preserve">Operating General Treasury Revenue</t>
  </si>
  <si>
    <t xml:space="preserve">Excludes dedicated funds</t>
  </si>
  <si>
    <t xml:space="preserve">Expense in consolidated budget; does not erase the royalty from Total Government Revenue</t>
  </si>
  <si>
    <t xml:space="preserve">TABLE 6 - NCC AND INDEPENDENT HEALTHCARE WATERFALL</t>
  </si>
  <si>
    <t xml:space="preserve">Gross National Continuity Contribution</t>
  </si>
  <si>
    <t xml:space="preserve">0.73% of covered enterprise valuation</t>
  </si>
  <si>
    <t xml:space="preserve">Amount required to reach annual SS breakeven</t>
  </si>
  <si>
    <t xml:space="preserve">NCC residual to NIRF</t>
  </si>
  <si>
    <t xml:space="preserve">All remaining NCC proceeds</t>
  </si>
  <si>
    <t xml:space="preserve">Residual Treasury support to Social Security</t>
  </si>
  <si>
    <t xml:space="preserve">Zero in central mature-year case</t>
  </si>
  <si>
    <t xml:space="preserve">Healthcare reserve floor</t>
  </si>
  <si>
    <t xml:space="preserve">Protected healthcare reserve</t>
  </si>
  <si>
    <t xml:space="preserve">Healthcare surplus above reserve</t>
  </si>
  <si>
    <t xml:space="preserve">No routine transfer to Social Security</t>
  </si>
  <si>
    <t xml:space="preserve">Healthcare residual to NIRF</t>
  </si>
  <si>
    <t xml:space="preserve">50% after approved healthcare R&amp;D/capacity</t>
  </si>
  <si>
    <t xml:space="preserve">Healthcare residual to Citizen Wealth Fund</t>
  </si>
  <si>
    <t xml:space="preserve">Year 0 strict Treasury balance</t>
  </si>
  <si>
    <t xml:space="preserve">Includes federal SSI saving</t>
  </si>
  <si>
    <t xml:space="preserve">Year 10 consolidated replacement surplus</t>
  </si>
  <si>
    <t xml:space="preserve">Includes external NCC revenue once</t>
  </si>
  <si>
    <t xml:space="preserve">Central covered enterprise valuation</t>
  </si>
  <si>
    <t xml:space="preserve">$B studied central assessable base; linked to National_Continuity</t>
  </si>
  <si>
    <t xml:space="preserve">Consolidated Reconciliation | Year 10 Mature Budget</t>
  </si>
  <si>
    <t xml:space="preserve">The reconciliation sums each ledger balance and each external protected-capital receipt once. Internal transfers are excluded.</t>
  </si>
  <si>
    <t xml:space="preserve">Treatment</t>
  </si>
  <si>
    <t xml:space="preserve">External General Government ledger result</t>
  </si>
  <si>
    <t xml:space="preserve">Independent healthcare ledger result</t>
  </si>
  <si>
    <t xml:space="preserve">Social Security ending balance</t>
  </si>
  <si>
    <t xml:space="preserve">After Resident Contributor receipts and NCC transfer</t>
  </si>
  <si>
    <t xml:space="preserve">External NCC revenue retained as protected NIRF principal</t>
  </si>
  <si>
    <t xml:space="preserve">Spectrum NIRF capital receipt</t>
  </si>
  <si>
    <t xml:space="preserve">External spectrum receipt retained as protected NIRF principal</t>
  </si>
  <si>
    <t xml:space="preserve">Calculated consolidated replacement balance</t>
  </si>
  <si>
    <t xml:space="preserve">No internal transfer counted twice</t>
  </si>
  <si>
    <t xml:space="preserve">Published consolidated replacement balance</t>
  </si>
  <si>
    <t xml:space="preserve">Headline result</t>
  </si>
  <si>
    <t xml:space="preserve">Must equal zero</t>
  </si>
  <si>
    <t xml:space="preserve">Deferred Module - Debt Flywheel (v21)</t>
  </si>
  <si>
    <t xml:space="preserve">Not included in the average mature replacement-year headline.</t>
  </si>
  <si>
    <t xml:space="preserve">Reason deferred</t>
  </si>
  <si>
    <t xml:space="preserve">The funding model must first close its annual consolidated gap before debt retirement or interest-savings feedback can be modeled as a benefit.</t>
  </si>
  <si>
    <t xml:space="preserve">Current headline balance</t>
  </si>
  <si>
    <t xml:space="preserve">Deferred until the base funding gap is closed</t>
  </si>
  <si>
    <t xml:space="preserve">This worksheet is retained for the later multi-year model. It contributes zero to the v21 active average-year headline.</t>
  </si>
  <si>
    <t xml:space="preserve">Deferred Module - Multi-Year and Post-Term Results (v21)</t>
  </si>
  <si>
    <t xml:space="preserve">Annual consolidated replacement balance</t>
  </si>
  <si>
    <t xml:space="preserve">Active baseline</t>
  </si>
  <si>
    <t xml:space="preserve">Links to Deficit_Views</t>
  </si>
  <si>
    <t xml:space="preserve">Debt trajectory</t>
  </si>
  <si>
    <t xml:space="preserve">Deferred</t>
  </si>
  <si>
    <t xml:space="preserve">Requires a closed annual gap and explicit borrowing assumptions</t>
  </si>
  <si>
    <t xml:space="preserve">Interest flywheel</t>
  </si>
  <si>
    <t xml:space="preserve">Not credited to the headline</t>
  </si>
  <si>
    <t xml:space="preserve">Transition costs</t>
  </si>
  <si>
    <t xml:space="preserve">Out of scope</t>
  </si>
  <si>
    <t xml:space="preserve">Average mature-year model only</t>
  </si>
  <si>
    <t xml:space="preserve">General Policy Book initiatives</t>
  </si>
  <si>
    <t xml:space="preserve">Costed later</t>
  </si>
  <si>
    <t xml:space="preserve">This sheet prevents multi-year effects from being confused with the steady-state replacement comparison.</t>
  </si>
  <si>
    <t xml:space="preserve">Current System to Fully Inclusive Studied Mature Replacement Year - v34</t>
  </si>
  <si>
    <t xml:space="preserve">All Policy Book revenue methods are now included in the budget summary. Former placeholders have studied central estimates with ranges and sources. LVT is unchanged.</t>
  </si>
  <si>
    <t xml:space="preserve">Metric</t>
  </si>
  <si>
    <t xml:space="preserve">Old model / FY2024 benchmark ($B)</t>
  </si>
  <si>
    <t xml:space="preserve">New replacement model ($B)</t>
  </si>
  <si>
    <t xml:space="preserve">Change ($B)</t>
  </si>
  <si>
    <t xml:space="preserve">Scope note</t>
  </si>
  <si>
    <t xml:space="preserve">Federal / General Government balance</t>
  </si>
  <si>
    <t xml:space="preserve">General Government balance before any residual Social Security backstop</t>
  </si>
  <si>
    <t xml:space="preserve">Citizen Data Royalty collection and CWF transfer net to zero</t>
  </si>
  <si>
    <t xml:space="preserve">Social Security annual balance</t>
  </si>
  <si>
    <t xml:space="preserve">Social Security ending balance after Resident Contributor and NCC funding</t>
  </si>
  <si>
    <t xml:space="preserve">Mature NLA and trust assumptions unchanged</t>
  </si>
  <si>
    <t xml:space="preserve">National healthcare annual cost</t>
  </si>
  <si>
    <t xml:space="preserve">20% modeled structural savings</t>
  </si>
  <si>
    <t xml:space="preserve">Cost rather than budget balance</t>
  </si>
  <si>
    <t xml:space="preserve">Healthcare dedicated balance</t>
  </si>
  <si>
    <t xml:space="preserve">Independent healthcare ledger balance including international licensing</t>
  </si>
  <si>
    <t xml:space="preserve">Internal provider margins excluded</t>
  </si>
  <si>
    <t xml:space="preserve">System-wide recurring result</t>
  </si>
  <si>
    <t xml:space="preserve">All scoped active mechanisms included</t>
  </si>
  <si>
    <t xml:space="preserve">Headline Inputs and Outputs</t>
  </si>
  <si>
    <t xml:space="preserve">Income taxed once when liquid/available</t>
  </si>
  <si>
    <t xml:space="preserve">Available for ordinary General Government operations</t>
  </si>
  <si>
    <t xml:space="preserve">Dedicated external collection</t>
  </si>
  <si>
    <t xml:space="preserve">Equal dedicated transfer to Citizen Wealth Fund</t>
  </si>
  <si>
    <t xml:space="preserve">Operating Treasury plus Citizen Data Royalty collection</t>
  </si>
  <si>
    <t xml:space="preserve">Luxury Tax revenue</t>
  </si>
  <si>
    <t xml:space="preserve">Flat 5% General Treasury revenue</t>
  </si>
  <si>
    <t xml:space="preserve">Before SS support</t>
  </si>
  <si>
    <t xml:space="preserve">Independent healthcare ledger balance</t>
  </si>
  <si>
    <t xml:space="preserve">Balanced after dedicated funding and NCC transfer</t>
  </si>
  <si>
    <t xml:space="preserve">Active Policy Inputs in the Headline</t>
  </si>
  <si>
    <t xml:space="preserve">10% expanded liquid base</t>
  </si>
  <si>
    <t xml:space="preserve">ACTIVE</t>
  </si>
  <si>
    <t xml:space="preserve">Pensions, annuities, royalties, legal/misc cash, foreign cash, data licensing</t>
  </si>
  <si>
    <t xml:space="preserve">3%</t>
  </si>
  <si>
    <t xml:space="preserve">Positive distributions</t>
  </si>
  <si>
    <t xml:space="preserve">10%</t>
  </si>
  <si>
    <t xml:space="preserve">Form 4797, deferred like-kind gain, positive REMIC</t>
  </si>
  <si>
    <t xml:space="preserve">Related-party manufacturing-import proxy for &gt;50% outsourcing</t>
  </si>
  <si>
    <t xml:space="preserve">PolicyBook calculator</t>
  </si>
  <si>
    <t xml:space="preserve">Loan Scumming taxes</t>
  </si>
  <si>
    <t xml:space="preserve">5% payoff + 10% audit</t>
  </si>
  <si>
    <t xml:space="preserve">Asset-backed borrowing used to avoid realization</t>
  </si>
  <si>
    <t xml:space="preserve">1%</t>
  </si>
  <si>
    <t xml:space="preserve">5%</t>
  </si>
  <si>
    <t xml:space="preserve">Personal luxury goods, luxury vehicles, yachts, and business jets</t>
  </si>
  <si>
    <t xml:space="preserve">30%</t>
  </si>
  <si>
    <t xml:space="preserve">ACTIVE / CWF</t>
  </si>
  <si>
    <t xml:space="preserve">Data-market base with overlap deductions</t>
  </si>
  <si>
    <t xml:space="preserve">Federalized Land Value Tax</t>
  </si>
  <si>
    <t xml:space="preserve">Full scenario</t>
  </si>
  <si>
    <t xml:space="preserve">Primary home exempt; full revenue booked</t>
  </si>
  <si>
    <t xml:space="preserve">Aggregate</t>
  </si>
  <si>
    <t xml:space="preserve">Receipt classes not repealed</t>
  </si>
  <si>
    <t xml:space="preserve">5% deficit-year</t>
  </si>
  <si>
    <t xml:space="preserve">Automatic 5% when prior-year consolidated balance is negative</t>
  </si>
  <si>
    <t xml:space="preserve">9% aggregate</t>
  </si>
  <si>
    <t xml:space="preserve">Approved marginal schedule through $1M</t>
  </si>
  <si>
    <t xml:space="preserve">Equity compensation covered at fair value</t>
  </si>
  <si>
    <t xml:space="preserve">NHDC mature international export margin</t>
  </si>
  <si>
    <t xml:space="preserve">Standing reserve</t>
  </si>
  <si>
    <t xml:space="preserve">ACTIVE COST</t>
  </si>
  <si>
    <t xml:space="preserve">General Government obligation</t>
  </si>
  <si>
    <t xml:space="preserve">1% central certified base</t>
  </si>
  <si>
    <t xml:space="preserve">Concentrated nonproductive financial reserves; managers withhold for clients; no cross-tier credit</t>
  </si>
  <si>
    <t xml:space="preserve">Presentation control</t>
  </si>
  <si>
    <t xml:space="preserve">ACTIVE VIEW</t>
  </si>
  <si>
    <t xml:space="preserve">Includes dedicated CWF royalty once; excludes private HSAs</t>
  </si>
  <si>
    <t xml:space="preserve">10% central behavioral score</t>
  </si>
  <si>
    <t xml:space="preserve">Passive outbound capital; bona fide U.S. foreign expansion carved out</t>
  </si>
  <si>
    <t xml:space="preserve">High-Wealth Withholding Recovery</t>
  </si>
  <si>
    <t xml:space="preserve">Collection mechanism</t>
  </si>
  <si>
    <t xml:space="preserve">Existing liabilities collected through controlled intermediaries</t>
  </si>
  <si>
    <t xml:space="preserve">Anti-double-counting</t>
  </si>
  <si>
    <t xml:space="preserve">ACTIVE ADJUSTMENT</t>
  </si>
  <si>
    <t xml:space="preserve">Offsets overlapping offshore/compliance collections</t>
  </si>
  <si>
    <t xml:space="preserve">Revised consolidated surplus</t>
  </si>
  <si>
    <t xml:space="preserve">After additions</t>
  </si>
  <si>
    <t xml:space="preserve">Three-ledger consolidated result</t>
  </si>
  <si>
    <t xml:space="preserve">Total mature-year cost savings</t>
  </si>
  <si>
    <t xml:space="preserve">Central/midpoint policy case</t>
  </si>
  <si>
    <t xml:space="preserve">ACTIVE SAVINGS</t>
  </si>
  <si>
    <t xml:space="preserve">Integrity, procurement, grants, workforce, credit, and military right-to-repair savings after overlap removal</t>
  </si>
  <si>
    <t xml:space="preserve">Revised ordinary federal outlays</t>
  </si>
  <si>
    <t xml:space="preserve">After mature-year savings</t>
  </si>
  <si>
    <t xml:space="preserve">Ordinary General Government outlays after cost reduction</t>
  </si>
  <si>
    <t xml:space="preserve">After full cost-savings program</t>
  </si>
  <si>
    <t xml:space="preserve">Average mature replacement-year result</t>
  </si>
  <si>
    <t xml:space="preserve">Social Security projection finding</t>
  </si>
  <si>
    <t xml:space="preserve">Year 0</t>
  </si>
  <si>
    <t xml:space="preserve">ACTIVE ANALYSIS</t>
  </si>
  <si>
    <t xml:space="preserve">Gap with Year 0 startup NLA</t>
  </si>
  <si>
    <t xml:space="preserve">Year 4</t>
  </si>
  <si>
    <t xml:space="preserve">Gap with Year 4 full-term NLA growth</t>
  </si>
  <si>
    <t xml:space="preserve">Year 10</t>
  </si>
  <si>
    <t xml:space="preserve">Gap with Year 10 mature NLA</t>
  </si>
  <si>
    <t xml:space="preserve">Trust drawdown warning</t>
  </si>
  <si>
    <t xml:space="preserve">Without Treasury stabilization</t>
  </si>
  <si>
    <t xml:space="preserve">RISK</t>
  </si>
  <si>
    <t xml:space="preserve">Trust corpus approaches depletion before Year 10</t>
  </si>
  <si>
    <t xml:space="preserve">Protected Social Security trust floor</t>
  </si>
  <si>
    <t xml:space="preserve">$2.7T</t>
  </si>
  <si>
    <t xml:space="preserve">ADOPTED</t>
  </si>
  <si>
    <t xml:space="preserve">Treasury backstop prevents reserve corpus from falling below the floor</t>
  </si>
  <si>
    <t xml:space="preserve">Protected healthcare reserve floor</t>
  </si>
  <si>
    <t xml:space="preserve">$120B</t>
  </si>
  <si>
    <t xml:space="preserve">Pandemic and disaster override applies</t>
  </si>
  <si>
    <t xml:space="preserve">Healthcare excess above reserve</t>
  </si>
  <si>
    <t xml:space="preserve">First supports Social Security</t>
  </si>
  <si>
    <t xml:space="preserve">Healthcare transfer to Social Security</t>
  </si>
  <si>
    <t xml:space="preserve">Closes dedicated gap before Treasury support</t>
  </si>
  <si>
    <t xml:space="preserve">Residual Treasury support</t>
  </si>
  <si>
    <t xml:space="preserve">Only remaining amount needed to preserve trust floor</t>
  </si>
  <si>
    <t xml:space="preserve">NIRF allocation from residual healthcare profit</t>
  </si>
  <si>
    <t xml:space="preserve">50% after SS is balanced</t>
  </si>
  <si>
    <t xml:space="preserve">CWF allocation from residual healthcare profit</t>
  </si>
  <si>
    <t xml:space="preserve">Citizen-only SS incremental contributions</t>
  </si>
  <si>
    <t xml:space="preserve">7% employee and 7% employer less existing 3%/3% baseline</t>
  </si>
  <si>
    <t xml:space="preserve">Noncitizen OASDI benefit saving</t>
  </si>
  <si>
    <t xml:space="preserve">MODELED</t>
  </si>
  <si>
    <t xml:space="preserve">Central estimate; explicit uncertainty</t>
  </si>
  <si>
    <t xml:space="preserve">Federal SSI saving</t>
  </si>
  <si>
    <t xml:space="preserve">VERIFIED FLOW</t>
  </si>
  <si>
    <t xml:space="preserve">General Government saving, not OASDI trust income</t>
  </si>
  <si>
    <t xml:space="preserve">Revised SS gap before healthcare</t>
  </si>
  <si>
    <t xml:space="preserve">After immigration-policy effects only</t>
  </si>
  <si>
    <t xml:space="preserve">Healthcare transfer to SS</t>
  </si>
  <si>
    <t xml:space="preserve">First priority above $120B reserve</t>
  </si>
  <si>
    <t xml:space="preserve">Residual healthcare profit</t>
  </si>
  <si>
    <t xml:space="preserve">Split 50/50 between NIRF and CWF</t>
  </si>
  <si>
    <t xml:space="preserve">Includes OASDI, contribution, and SSI effects</t>
  </si>
  <si>
    <t xml:space="preserve">National Continuity Contribution rate</t>
  </si>
  <si>
    <t xml:space="preserve">Flat annual enterprise-value levy</t>
  </si>
  <si>
    <t xml:space="preserve">Applies above $1M at annual registration</t>
  </si>
  <si>
    <t xml:space="preserve">Modeled assessable base</t>
  </si>
  <si>
    <t xml:space="preserve">Linked to validated National_Continuity central base</t>
  </si>
  <si>
    <t xml:space="preserve">Gross NCC revenue</t>
  </si>
  <si>
    <t xml:space="preserve">External dedicated revenue</t>
  </si>
  <si>
    <t xml:space="preserve">Closes annual SS gap</t>
  </si>
  <si>
    <t xml:space="preserve">After SS breakeven</t>
  </si>
  <si>
    <t xml:space="preserve">REMOVED</t>
  </si>
  <si>
    <t xml:space="preserve">NHDC fully independent</t>
  </si>
  <si>
    <t xml:space="preserve">50% after reserve and approved healthcare needs</t>
  </si>
  <si>
    <t xml:space="preserve">Healthcare residual to CWF</t>
  </si>
  <si>
    <t xml:space="preserve">Studied central</t>
  </si>
  <si>
    <t xml:space="preserve">$25/t, 10% mature erosion</t>
  </si>
  <si>
    <t xml:space="preserve">Revenue_Validation</t>
  </si>
  <si>
    <t xml:space="preserve">Spectrum stewardship gross</t>
  </si>
  <si>
    <t xml:space="preserve">Treasury + NIRF + administration</t>
  </si>
  <si>
    <t xml:space="preserve">Federal enterprise data services net</t>
  </si>
  <si>
    <t xml:space="preserve">Premium services over free public data</t>
  </si>
  <si>
    <t xml:space="preserve">National lab patent marketplace net</t>
  </si>
  <si>
    <t xml:space="preserve">Licenses, royalties, exclusivity auctions</t>
  </si>
  <si>
    <t xml:space="preserve">Industrial campus leases/services net</t>
  </si>
  <si>
    <t xml:space="preserve">Ground leases, utilities, testing, royalties</t>
  </si>
  <si>
    <t xml:space="preserve">Pipeline capacity auctions net</t>
  </si>
  <si>
    <t xml:space="preserve">Corridor capacity and ROW rents</t>
  </si>
  <si>
    <t xml:space="preserve">NHDC international licenses</t>
  </si>
  <si>
    <t xml:space="preserve">Dedicated healthcare earnings</t>
  </si>
  <si>
    <t xml:space="preserve">NLA institutional/international</t>
  </si>
  <si>
    <t xml:space="preserve">Dedicated Social Security earnings</t>
  </si>
  <si>
    <t xml:space="preserve">Commercial space infrastructure net</t>
  </si>
  <si>
    <t xml:space="preserve">Service revenue net of operations</t>
  </si>
  <si>
    <t xml:space="preserve">Deterrence-based; not relied upon</t>
  </si>
  <si>
    <t xml:space="preserve">NIRF distributable return</t>
  </si>
  <si>
    <t xml:space="preserve">Studied mature</t>
  </si>
  <si>
    <t xml:space="preserve">Protected principal retained</t>
  </si>
  <si>
    <t xml:space="preserve">National Continuity covered valuation</t>
  </si>
  <si>
    <t xml:space="preserve">$B; Federal Reserve basis</t>
  </si>
  <si>
    <t xml:space="preserve">Fully inclusive</t>
  </si>
  <si>
    <t xml:space="preserve">All revenue methods included</t>
  </si>
  <si>
    <t xml:space="preserve">Deficit_Views</t>
  </si>
  <si>
    <t xml:space="preserve">Sources - Plain URLs Used</t>
  </si>
  <si>
    <t xml:space="preserve">Topic</t>
  </si>
  <si>
    <t xml:space="preserve">2024 and modern annual values</t>
  </si>
  <si>
    <t xml:space="preserve">GNI</t>
  </si>
  <si>
    <t xml:space="preserve">2024 and modern values</t>
  </si>
  <si>
    <t xml:space="preserve">Wages/salaries</t>
  </si>
  <si>
    <t xml:space="preserve">2024 payroll base</t>
  </si>
  <si>
    <t xml:space="preserve">Corporate profits</t>
  </si>
  <si>
    <t xml:space="preserve">2024 and modern profits</t>
  </si>
  <si>
    <t xml:space="preserve">Federal budget</t>
  </si>
  <si>
    <t xml:space="preserve">FY2024 receipts/outlays</t>
  </si>
  <si>
    <t xml:space="preserve">Social Security</t>
  </si>
  <si>
    <t xml:space="preserve">2024 OASDI cost/income</t>
  </si>
  <si>
    <t xml:space="preserve">Healthcare</t>
  </si>
  <si>
    <t xml:space="preserve">2024 NHE</t>
  </si>
  <si>
    <t xml:space="preserve">Property taxes</t>
  </si>
  <si>
    <t xml:space="preserve">2024 property-tax benchmark</t>
  </si>
  <si>
    <t xml:space="preserve">Farmland values</t>
  </si>
  <si>
    <t xml:space="preserve">USDA</t>
  </si>
  <si>
    <t xml:space="preserve">2024 farm real estate values</t>
  </si>
  <si>
    <t xml:space="preserve">Household real estate</t>
  </si>
  <si>
    <t xml:space="preserve">Fed/FRED</t>
  </si>
  <si>
    <t xml:space="preserve">Residential real estate scale</t>
  </si>
  <si>
    <t xml:space="preserve">Corporate real estate</t>
  </si>
  <si>
    <t xml:space="preserve">Corporate real estate scale</t>
  </si>
  <si>
    <t xml:space="preserve">Noncorporate real estate</t>
  </si>
  <si>
    <t xml:space="preserve">Noncorporate real estate scale</t>
  </si>
  <si>
    <t xml:space="preserve">LVT theory</t>
  </si>
  <si>
    <t xml:space="preserve">Lincoln Institute</t>
  </si>
  <si>
    <t xml:space="preserve">https://www.lincolninst.edu/publications/articles/2022-01-land-value-taxation-property-tax-public-finance/</t>
  </si>
  <si>
    <t xml:space="preserve">LVT efficiency/economic rent theory</t>
  </si>
  <si>
    <t xml:space="preserve">Core resource royalty</t>
  </si>
  <si>
    <t xml:space="preserve">Expanded resource sensitivity</t>
  </si>
  <si>
    <t xml:space="preserve">Healthcare savings reference</t>
  </si>
  <si>
    <t xml:space="preserve">Uploaded file</t>
  </si>
  <si>
    <t xml:space="preserve">US_Healthcare_Cost_Reduction_Estimate_Reference.md</t>
  </si>
  <si>
    <t xml:space="preserve">20-25% cost reduction estimate; central 22%</t>
  </si>
  <si>
    <t xml:space="preserve">NLA household debt balances</t>
  </si>
  <si>
    <t xml:space="preserve">Federal Reserve</t>
  </si>
  <si>
    <t xml:space="preserve">https://www.federalreserve.gov/publications/November-2024-Borrowing-by-Businesses-and-Households.htm</t>
  </si>
  <si>
    <t xml:space="preserve">2024 mortgages, consumer credit, student, auto and credit card balances</t>
  </si>
  <si>
    <t xml:space="preserve">NLA financial accounts</t>
  </si>
  <si>
    <t xml:space="preserve">Federal Reserve Z.1</t>
  </si>
  <si>
    <t xml:space="preserve">https://www.federalreserve.gov/releases/z1/</t>
  </si>
  <si>
    <t xml:space="preserve">Balance-sheet validation and future updates</t>
  </si>
  <si>
    <t xml:space="preserve">Energy exports</t>
  </si>
  <si>
    <t xml:space="preserve">U.S. Census/BEA FT-900</t>
  </si>
  <si>
    <t xml:space="preserve">https://www.census.gov/foreign-trade/Press-Release/ft900/ft900_2412.pdf</t>
  </si>
  <si>
    <t xml:space="preserve">2024 export values by energy commodity</t>
  </si>
  <si>
    <t xml:space="preserve">Energy export quantities</t>
  </si>
  <si>
    <t xml:space="preserve">EIA</t>
  </si>
  <si>
    <t xml:space="preserve">https://www.eia.gov/todayinenergy/detail.php?id=65524</t>
  </si>
  <si>
    <t xml:space="preserve">2024 energy-export composition and record exports</t>
  </si>
  <si>
    <t xml:space="preserve">Forestry proxy</t>
  </si>
  <si>
    <t xml:space="preserve">2024 forestry, fishing and related real GDP proxy</t>
  </si>
  <si>
    <t xml:space="preserve">NAIC name note</t>
  </si>
  <si>
    <t xml:space="preserve">Policy definition</t>
  </si>
  <si>
    <t xml:space="preserve">Internal policy</t>
  </si>
  <si>
    <t xml:space="preserve">National Auto Insurance Corporation; distinct from private regulator associations</t>
  </si>
  <si>
    <t xml:space="preserve">NLA tax-record safeguards</t>
  </si>
  <si>
    <t xml:space="preserve">Federal tax confidentiality</t>
  </si>
  <si>
    <t xml:space="preserve">https://www.irs.gov/government-entities/federal-state-local-governments/disclosure-laws</t>
  </si>
  <si>
    <t xml:space="preserve">Access must be specifically authorized and safeguarded</t>
  </si>
  <si>
    <t xml:space="preserve">LVT parcel validation</t>
  </si>
  <si>
    <t xml:space="preserve">USDA/Federal Reserve/local assessment data</t>
  </si>
  <si>
    <t xml:space="preserve">See LVT sheet</t>
  </si>
  <si>
    <t xml:space="preserve">National land-only parcel model remains required</t>
  </si>
  <si>
    <t xml:space="preserve">Small-business relief</t>
  </si>
  <si>
    <t xml:space="preserve">Policy reserve</t>
  </si>
  <si>
    <t xml:space="preserve">$10B general-budget transition and surge reserve</t>
  </si>
  <si>
    <t xml:space="preserve">Capital gains realizations</t>
  </si>
  <si>
    <t xml:space="preserve">2021 peak $2.0T; 2023 ~$1.5T; 2024 central $1.6T used</t>
  </si>
  <si>
    <t xml:space="preserve">Capital gains 2024-25 outlook</t>
  </si>
  <si>
    <t xml:space="preserve">CBO Jan 2025 Outlook</t>
  </si>
  <si>
    <t xml:space="preserve">https://www.cbo.gov/publication/60870</t>
  </si>
  <si>
    <t xml:space="preserve">Higher asset values raised expected realizations</t>
  </si>
  <si>
    <t xml:space="preserve">OASDI trust reserves</t>
  </si>
  <si>
    <t xml:space="preserve">End-2024 asset reserves for trust investment</t>
  </si>
  <si>
    <t xml:space="preserve">Trust fund interest rates</t>
  </si>
  <si>
    <t xml:space="preserve">https://www.ssa.gov/oact/progdata/annualinterestrates.html</t>
  </si>
  <si>
    <t xml:space="preserve">Special-issue effective rate benchmark</t>
  </si>
  <si>
    <t xml:space="preserve">US equity long-run returns</t>
  </si>
  <si>
    <t xml:space="preserve">Damodaran/NYU</t>
  </si>
  <si>
    <t xml:space="preserve">https://pages.stern.nyu.edu/~adamodar/New_Home_Page/datafile/histretSP.html</t>
  </si>
  <si>
    <t xml:space="preserve">S&amp;P 500 total return 1928-2024 ~9.9% nominal</t>
  </si>
  <si>
    <t xml:space="preserve">10-year Treasury yield</t>
  </si>
  <si>
    <t xml:space="preserve">FRED</t>
  </si>
  <si>
    <t xml:space="preserve">https://fred.stlouisfed.org/series/DGS10</t>
  </si>
  <si>
    <t xml:space="preserve">Diversified sleeve yield, 2024 average ~4.4%</t>
  </si>
  <si>
    <t xml:space="preserve">Global generics market</t>
  </si>
  <si>
    <t xml:space="preserve">Statista/Grand View</t>
  </si>
  <si>
    <t xml:space="preserve">~$455B 2024 addressable NHDC export market</t>
  </si>
  <si>
    <t xml:space="preserve">US generics market</t>
  </si>
  <si>
    <t xml:space="preserve">$138.8B 2024 domestic scale context</t>
  </si>
  <si>
    <t xml:space="preserve">Postal prefunding repeal</t>
  </si>
  <si>
    <t xml:space="preserve">Postal Service Reform Act of 2022</t>
  </si>
  <si>
    <t xml:space="preserve">https://www.congress.gov/bill/117th-congress/house-bill/3076</t>
  </si>
  <si>
    <t xml:space="preserve">Prefunding mandate repealed; plank makes removal permanent</t>
  </si>
  <si>
    <t xml:space="preserve">Debt held by the public</t>
  </si>
  <si>
    <t xml:space="preserve">$28.2T end FY2024; flywheel base</t>
  </si>
  <si>
    <t xml:space="preserve">Proprietors' income</t>
  </si>
  <si>
    <t xml:space="preserve">BEA/FRED PROPINC</t>
  </si>
  <si>
    <t xml:space="preserve">Personal interest income</t>
  </si>
  <si>
    <t xml:space="preserve">BEA/FRED PII</t>
  </si>
  <si>
    <t xml:space="preserve">Monetary portion only; imputed excluded</t>
  </si>
  <si>
    <t xml:space="preserve">BEA Table 2.1 (Personal Income and Its Disposition)</t>
  </si>
  <si>
    <t xml:space="preserve">BEA iTable</t>
  </si>
  <si>
    <t xml:space="preserve">Authoritative composition of personal income</t>
  </si>
  <si>
    <t xml:space="preserve">Stock-based compensation, US public companies</t>
  </si>
  <si>
    <t xml:space="preserve">Carver Edison SEC EDGAR dataset</t>
  </si>
  <si>
    <t xml:space="preserve">$366.7B most recent fiscal year across 1,680 issuers</t>
  </si>
  <si>
    <t xml:space="preserve">Stock-based compensation, corroboration</t>
  </si>
  <si>
    <t xml:space="preserve">Morgan Stanley Counterpoint</t>
  </si>
  <si>
    <t xml:space="preserve">https://www.morganstanley.com/im/publication/insights/articles/article_stockbasedcompensation.pdf</t>
  </si>
  <si>
    <t xml:space="preserve">~$270B in 2022; 6-8% of public-company compensation</t>
  </si>
  <si>
    <t xml:space="preserve">US legal cannabis sales</t>
  </si>
  <si>
    <t xml:space="preserve">Whitney Economics via LA City</t>
  </si>
  <si>
    <t xml:space="preserve">$30.1B legal sales in 2024</t>
  </si>
  <si>
    <t xml:space="preserve">Tobacco tax revenue (scale reference)</t>
  </si>
  <si>
    <t xml:space="preserve">CBO via Statista</t>
  </si>
  <si>
    <t xml:space="preserve">https://www.statista.com/statistics/248964/revenues-from-tobacco-tax-and-forecast-in-the-us/</t>
  </si>
  <si>
    <t xml:space="preserve">$9.38B in federal tobacco tax revenue 2024</t>
  </si>
  <si>
    <t xml:space="preserve">Retained federal other receipts</t>
  </si>
  <si>
    <t xml:space="preserve">CBO FY2024 Budget Results</t>
  </si>
  <si>
    <t xml:space="preserve">$253B aggregate of current-law receipt classes outside individual, payroll, and corporate income taxes</t>
  </si>
  <si>
    <t xml:space="preserve">PolicyBook v86.0</t>
  </si>
  <si>
    <t xml:space="preserve">Active rates, bases, routing, mature replacement treatment, NHDC three-times-cost ceiling, and equity surtax schedule</t>
  </si>
  <si>
    <t xml:space="preserve">Energy export excise policy</t>
  </si>
  <si>
    <t xml:space="preserve">3-5% statutory band; 4% central active replacement rate</t>
  </si>
  <si>
    <t xml:space="preserve">Taxable IRAs, pensions, annuities, Form 4797, Schedule E, Form 8824, foreign income</t>
  </si>
  <si>
    <t xml:space="preserve">IRS Statistics of Income Publication 4801 / 1304</t>
  </si>
  <si>
    <t xml:space="preserve">Tax Year 2023 national aggregates</t>
  </si>
  <si>
    <t xml:space="preserve">Legal settlements and miscellaneous cash income proxy</t>
  </si>
  <si>
    <t xml:space="preserve">IRS Publication 5385, Form 1099-MISC statistics</t>
  </si>
  <si>
    <t xml:space="preserve">https://www.irs.gov/statistics/soi-tax-stats-products-publications-and-papers</t>
  </si>
  <si>
    <t xml:space="preserve">Box 3 other income; active proxy</t>
  </si>
  <si>
    <t xml:space="preserve">Outsourcing related-party manufacturing imports</t>
  </si>
  <si>
    <t xml:space="preserve">U.S. Census Bureau Related-Party Trade</t>
  </si>
  <si>
    <t xml:space="preserve">https://www.census.gov/foreign-trade/Press-Release/related_party/</t>
  </si>
  <si>
    <t xml:space="preserve">2024 NAICS 31-33 related-party imports</t>
  </si>
  <si>
    <t xml:space="preserve">Fair Profit market sales</t>
  </si>
  <si>
    <t xml:space="preserve">U.S. Census Monthly Retail Trade Survey</t>
  </si>
  <si>
    <t xml:space="preserve">https://www.census.gov/retail/index.html</t>
  </si>
  <si>
    <t xml:space="preserve">2024 category sales used in original screening study</t>
  </si>
  <si>
    <t xml:space="preserve">Prescription drug market</t>
  </si>
  <si>
    <t xml:space="preserve">CMS National Health Expenditure</t>
  </si>
  <si>
    <t xml:space="preserve">2024 retail prescription-drug spending</t>
  </si>
  <si>
    <t xml:space="preserve">Securities-based loans</t>
  </si>
  <si>
    <t xml:space="preserve">Federal Reserve FEDS Note</t>
  </si>
  <si>
    <t xml:space="preserve">https://www.federalreserve.gov/econres/notes/feds-notes/estimating-securities-based-loans-outstanding-20240802.html</t>
  </si>
  <si>
    <t xml:space="preserve">$138B securities-based loans; margin lending scale</t>
  </si>
  <si>
    <t xml:space="preserve">Protectorate Fee legacy base</t>
  </si>
  <si>
    <t xml:space="preserve">Michael Allen Tax Study ModelSheet</t>
  </si>
  <si>
    <t xml:space="preserve">Tax_Study_ModelSheet.xlsx</t>
  </si>
  <si>
    <t xml:space="preserve">77 countries; $15.140T government expenditure; 1% fee</t>
  </si>
  <si>
    <t xml:space="preserve">Fair Profit calculator</t>
  </si>
  <si>
    <t xml:space="preserve">0.5 percentage point per completed multiple over 10x; 50% cap</t>
  </si>
  <si>
    <t xml:space="preserve">Loan Scumming policy</t>
  </si>
  <si>
    <t xml:space="preserve">10-year audit; 5% payoff tax above 5x median salary</t>
  </si>
  <si>
    <t xml:space="preserve">Citizen Data Royalty - IAB/PwC</t>
  </si>
  <si>
    <t xml:space="preserve">$258.6B U.S. internet advertising revenue in 2024</t>
  </si>
  <si>
    <t xml:space="preserve">Digital advertising gross base</t>
  </si>
  <si>
    <t xml:space="preserve">https://www.iab.com/insights/internet-advertising-revenue-report-full-year-2024/</t>
  </si>
  <si>
    <t xml:space="preserve">Citizen Data Royalty - FTC</t>
  </si>
  <si>
    <t xml:space="preserve">Extensive personal-data collection and monetization by major social and streaming platforms</t>
  </si>
  <si>
    <t xml:space="preserve">Supports social-ad data-dependence factor</t>
  </si>
  <si>
    <t xml:space="preserve">https://www.ftc.gov/news-events/news/press-releases/2024/09/ftc-staff-report-finds-large-social-media-video-streaming-companies-have-engaged-vast-surveillance</t>
  </si>
  <si>
    <t xml:space="preserve">Citizen Data Royalty - Data brokers</t>
  </si>
  <si>
    <t xml:space="preserve">$277.97B global market; North America 41.2%</t>
  </si>
  <si>
    <t xml:space="preserve">Broker/licensing base</t>
  </si>
  <si>
    <t xml:space="preserve">https://www.grandviewresearch.com/industry-analysis/data-broker-market-report</t>
  </si>
  <si>
    <t xml:space="preserve">Citizen Data Royalty - Credit data</t>
  </si>
  <si>
    <t xml:space="preserve">Experian annual revenue and segment reporting</t>
  </si>
  <si>
    <t xml:space="preserve">Credit/identity database proxy</t>
  </si>
  <si>
    <t xml:space="preserve">https://www.experianplc.com/content/dam/marketing/global/plc/en/assets/documents/reports/2024/experian_annual_report_2024_web.pdf</t>
  </si>
  <si>
    <t xml:space="preserve">Citizen Data Royalty - Market research</t>
  </si>
  <si>
    <t xml:space="preserve">U.S. NAICS 541910 market estimate</t>
  </si>
  <si>
    <t xml:space="preserve">Research/panel base</t>
  </si>
  <si>
    <t xml:space="preserve">https://www.ibisworld.com/classifications/naics/541910/marketing-research-and-public-opinion-polling/</t>
  </si>
  <si>
    <t xml:space="preserve">Citizen Data Royalty - Location intelligence</t>
  </si>
  <si>
    <t xml:space="preserve">Global market and North American share</t>
  </si>
  <si>
    <t xml:space="preserve">Location data base</t>
  </si>
  <si>
    <t xml:space="preserve">https://www.grandviewresearch.com/industry-analysis/location-intelligence-market</t>
  </si>
  <si>
    <t xml:space="preserve">Luxury Tax - Personal luxury goods</t>
  </si>
  <si>
    <t xml:space="preserve">$115.22B U.S. market in 2024</t>
  </si>
  <si>
    <t xml:space="preserve">Luxury-goods base</t>
  </si>
  <si>
    <t xml:space="preserve">https://www.researchandmarkets.com/reports/6178771/united-states-luxury-goods-market-report-product</t>
  </si>
  <si>
    <t xml:space="preserve">Luxury Tax - Vehicles</t>
  </si>
  <si>
    <t xml:space="preserve">Approximately $110B U.S. luxury and exotic vehicle market</t>
  </si>
  <si>
    <t xml:space="preserve">Vehicle base</t>
  </si>
  <si>
    <t xml:space="preserve">https://www.bcg.com/press/12december2025-us-luxury-exotic-car-market</t>
  </si>
  <si>
    <t xml:space="preserve">Luxury Tax - Yachts</t>
  </si>
  <si>
    <t xml:space="preserve">Approximately $3.40B U.S. luxury yacht market in 2024</t>
  </si>
  <si>
    <t xml:space="preserve">Yacht base</t>
  </si>
  <si>
    <t xml:space="preserve">https://www.marketresearch.com/seek/Luxury-Goods-North-America/1831/1350/1.html</t>
  </si>
  <si>
    <t xml:space="preserve">Luxury Tax - Business jets</t>
  </si>
  <si>
    <t xml:space="preserve">$12.6546B U.S. business-jet market in 2024</t>
  </si>
  <si>
    <t xml:space="preserve">Private/business jet base</t>
  </si>
  <si>
    <t xml:space="preserve">https://www.custommarketinsights.com/report/us-business-jet-market/</t>
  </si>
  <si>
    <t xml:space="preserve">Idle wealth - top 0.1% equities</t>
  </si>
  <si>
    <t xml:space="preserve">Federal Reserve / FRED DFA series WFRBLTP1232</t>
  </si>
  <si>
    <t xml:space="preserve">2024 Q4: $11.556136T</t>
  </si>
  <si>
    <t xml:space="preserve">https://fred.stlouisfed.org/data/WFRBLTP1232</t>
  </si>
  <si>
    <t xml:space="preserve">Idle wealth - hedge fund NAV</t>
  </si>
  <si>
    <t xml:space="preserve">SEC Private Fund Statistics 2024 Q4, Table 2.3</t>
  </si>
  <si>
    <t xml:space="preserve">2024 Q4: $5.334T NAV; no cross-tier credit in policy model</t>
  </si>
  <si>
    <t xml:space="preserve">https://www.sec.gov/files/investment/private-funds-statistics-2024-q4.pdf</t>
  </si>
  <si>
    <t xml:space="preserve">Cross-country revenue structure</t>
  </si>
  <si>
    <t xml:space="preserve">OECD Revenue Statistics 2025</t>
  </si>
  <si>
    <t xml:space="preserve">OECD average tax-to-GDP and tax mix</t>
  </si>
  <si>
    <t xml:space="preserve">https://www.oecd.org/en/publications/revenue-statistics-2025_3a264267-en.html</t>
  </si>
  <si>
    <t xml:space="preserve">Singapore investment returns</t>
  </si>
  <si>
    <t xml:space="preserve">Singapore Ministry of Finance, reserves and NIRC</t>
  </si>
  <si>
    <t xml:space="preserve">About 20% of annual spending funded by reserve returns</t>
  </si>
  <si>
    <t xml:space="preserve">https://www.mof.gov.sg/policies/reserves/what-are-the-reserves-used-for/</t>
  </si>
  <si>
    <t xml:space="preserve">Norway petroleum fund rule</t>
  </si>
  <si>
    <t xml:space="preserve">Norwegian Government fiscal policy framework</t>
  </si>
  <si>
    <t xml:space="preserve">Petroleum cash flow to GPFG; budget transfers governed by fiscal rule</t>
  </si>
  <si>
    <t xml:space="preserve">https://www.regjeringen.no/en/topics/the-economy/economic-policy/economic-policy/id418083/</t>
  </si>
  <si>
    <t xml:space="preserve">Offshore capital flows</t>
  </si>
  <si>
    <t xml:space="preserve">BEA U.S. International Transactions, 2024</t>
  </si>
  <si>
    <t xml:space="preserve">Portfolio $361.0B; deposits/loans/other $113.6B; direct investment carved out</t>
  </si>
  <si>
    <t xml:space="preserve">https://www.bea.gov/news/2025/us-international-transactions-4th-quarter-and-year-2024</t>
  </si>
  <si>
    <t xml:space="preserve">Federal tax gap</t>
  </si>
  <si>
    <t xml:space="preserve">IRS Tax Gap projections</t>
  </si>
  <si>
    <t xml:space="preserve">$696B gross and $606B net estimated 2022 tax gap</t>
  </si>
  <si>
    <t xml:space="preserve">https://www.irs.gov/statistics/irs-the-tax-gap</t>
  </si>
  <si>
    <t xml:space="preserve">Large partnership enforcement</t>
  </si>
  <si>
    <t xml:space="preserve">GAO-23-106020</t>
  </si>
  <si>
    <t xml:space="preserve">Complex large partnerships and low audit rates</t>
  </si>
  <si>
    <t xml:space="preserve">https://www.gao.gov/products/gao-23-106020</t>
  </si>
  <si>
    <t xml:space="preserve">High-income evasion research</t>
  </si>
  <si>
    <t xml:space="preserve">IRS SOI research</t>
  </si>
  <si>
    <t xml:space="preserve">Offshore and pass-through evasion concentrated at the top</t>
  </si>
  <si>
    <t xml:space="preserve">https://www.irs.gov/pub/irs-soi/23rptaxevasiontopincomedist.pdf</t>
  </si>
  <si>
    <t xml:space="preserve">QA Checks - v35 Publication Ready</t>
  </si>
  <si>
    <t xml:space="preserve">Check</t>
  </si>
  <si>
    <t xml:space="preserve">Expected</t>
  </si>
  <si>
    <t xml:space="preserve">Expanded liquid base ties</t>
  </si>
  <si>
    <t xml:space="preserve">Citizen Data Royalty base ties</t>
  </si>
  <si>
    <t xml:space="preserve">Citizen Data Royalty collection ties</t>
  </si>
  <si>
    <t xml:space="preserve">CWF transfer equals Data Royalty</t>
  </si>
  <si>
    <t xml:space="preserve">Luxury tax base ties</t>
  </si>
  <si>
    <t xml:space="preserve">Luxury tax revenue ties</t>
  </si>
  <si>
    <t xml:space="preserve">Operating Treasury subtotal excludes dedicated Data Royalty and sin surtax</t>
  </si>
  <si>
    <t xml:space="preserve">Gross administered collection ties</t>
  </si>
  <si>
    <t xml:space="preserve">General Government balance ties</t>
  </si>
  <si>
    <t xml:space="preserve">Healthcare balance ties</t>
  </si>
  <si>
    <t xml:space="preserve">Social Security balance ties</t>
  </si>
  <si>
    <t xml:space="preserve">Consolidated Year 10 balance ties to ledgers and NCC residual</t>
  </si>
  <si>
    <t xml:space="preserve">Reclassified ledger reconciliation</t>
  </si>
  <si>
    <t xml:space="preserve">Healthcare internal margins excluded</t>
  </si>
  <si>
    <t xml:space="preserve">Small-business surge reserve active</t>
  </si>
  <si>
    <t xml:space="preserve">SS support does not change consolidation</t>
  </si>
  <si>
    <t xml:space="preserve">LVT headline equals full scenario input</t>
  </si>
  <si>
    <t xml:space="preserve">Equity tranche above $1M remains set at adoption</t>
  </si>
  <si>
    <t xml:space="preserve">Equity aggregate active rate</t>
  </si>
  <si>
    <t xml:space="preserve">Retained current-law receipts active</t>
  </si>
  <si>
    <t xml:space="preserve">Outsourcing penalty active</t>
  </si>
  <si>
    <t xml:space="preserve">Fair Profit Tax active</t>
  </si>
  <si>
    <t xml:space="preserve">Loan Scumming active</t>
  </si>
  <si>
    <t xml:space="preserve">Protectorate Fee active</t>
  </si>
  <si>
    <t xml:space="preserve">Year 0 NLA profit uses startup case</t>
  </si>
  <si>
    <t xml:space="preserve">Mature-year cost savings booked</t>
  </si>
  <si>
    <t xml:space="preserve">Year 10 consolidated surplus ties</t>
  </si>
  <si>
    <t xml:space="preserve">Protected SS trust floor</t>
  </si>
  <si>
    <t xml:space="preserve">Year 0 SS ending balance after waterfall</t>
  </si>
  <si>
    <t xml:space="preserve">Citizen-only SS incremental contribution</t>
  </si>
  <si>
    <t xml:space="preserve">Year 0 Treasury support after immigration policy</t>
  </si>
  <si>
    <t xml:space="preserve">NCC rate</t>
  </si>
  <si>
    <t xml:space="preserve">Year 0 SS balance after NCC</t>
  </si>
  <si>
    <t xml:space="preserve">Year 0 NHDC transfer to SS</t>
  </si>
  <si>
    <t xml:space="preserve">Year 0 NCC residual to NIRF</t>
  </si>
  <si>
    <t xml:space="preserve">Publication rule: every active QA check must read PASS.</t>
  </si>
  <si>
    <t xml:space="preserve">All added revenue net total</t>
  </si>
  <si>
    <t xml:space="preserve">NCC studied base cross-reference</t>
  </si>
  <si>
    <t xml:space="preserve">LVT unchanged</t>
  </si>
  <si>
    <t xml:space="preserve">Total Government Revenue reconciliation</t>
  </si>
  <si>
    <t xml:space="preserve">Operating Treasury reconciliation</t>
  </si>
  <si>
    <t xml:space="preserve">Consolidated Year 10 balance reconciliation</t>
  </si>
  <si>
    <t xml:space="preserve">National Lending Authority - 10% Fixed-Rate Revenue and Profit Model</t>
  </si>
  <si>
    <t xml:space="preserve">Loan category</t>
  </si>
  <si>
    <t xml:space="preserve">2024 addressable balance ($B)</t>
  </si>
  <si>
    <t xml:space="preserve">Initial share</t>
  </si>
  <si>
    <t xml:space="preserve">Central share</t>
  </si>
  <si>
    <t xml:space="preserve">Mature share</t>
  </si>
  <si>
    <t xml:space="preserve">Central portfolio ($B)</t>
  </si>
  <si>
    <t xml:space="preserve">Home mortgages</t>
  </si>
  <si>
    <t xml:space="preserve">NLA mortgages remain exactly 10%; private prime mortgages may be cheaper.</t>
  </si>
  <si>
    <t xml:space="preserve">Student loans</t>
  </si>
  <si>
    <t xml:space="preserve">Includes refinancing and new federal public lending.</t>
  </si>
  <si>
    <t xml:space="preserve">Auto loans</t>
  </si>
  <si>
    <t xml:space="preserve">1% down payment required.</t>
  </si>
  <si>
    <t xml:space="preserve">Other consumer/personal credit</t>
  </si>
  <si>
    <t xml:space="preserve">Consumer credit less student, auto, and credit-card balances; credit cards excluded from base.</t>
  </si>
  <si>
    <t xml:space="preserve">Total addressable / portfolio</t>
  </si>
  <si>
    <t xml:space="preserve">Core pricing and cost assumptions</t>
  </si>
  <si>
    <t xml:space="preserve">Rate / Value</t>
  </si>
  <si>
    <t xml:space="preserve">Policy</t>
  </si>
  <si>
    <t xml:space="preserve">Fixed true annual interest rate</t>
  </si>
  <si>
    <t xml:space="preserve">Gross interest revenue</t>
  </si>
  <si>
    <t xml:space="preserve">Exactly 10%, no more and no less</t>
  </si>
  <si>
    <t xml:space="preserve">Funding cost</t>
  </si>
  <si>
    <t xml:space="preserve">Expense assumption</t>
  </si>
  <si>
    <t xml:space="preserve">Scenario input; public borrowing/funding cost</t>
  </si>
  <si>
    <t xml:space="preserve">Net credit loss rate</t>
  </si>
  <si>
    <t xml:space="preserve">After recoveries and collateral</t>
  </si>
  <si>
    <t xml:space="preserve">Servicing and operating cost</t>
  </si>
  <si>
    <t xml:space="preserve">Underwriting, servicing, collections, systems</t>
  </si>
  <si>
    <t xml:space="preserve">Required reserve addition</t>
  </si>
  <si>
    <t xml:space="preserve">Retained capital</t>
  </si>
  <si>
    <t xml:space="preserve">Not distributable profit</t>
  </si>
  <si>
    <t xml:space="preserve">Annual origination turnover</t>
  </si>
  <si>
    <t xml:space="preserve">New loan originations / portfolio</t>
  </si>
  <si>
    <t xml:space="preserve">Used to estimate applications</t>
  </si>
  <si>
    <t xml:space="preserve">Average qualifying loan size ($)</t>
  </si>
  <si>
    <t xml:space="preserve">Fee-volume assumption</t>
  </si>
  <si>
    <t xml:space="preserve">Loans over $1,000 pay $100 application fee</t>
  </si>
  <si>
    <t xml:space="preserve">Application fee ($)</t>
  </si>
  <si>
    <t xml:space="preserve">Operating revenue</t>
  </si>
  <si>
    <t xml:space="preserve">Only fee; 1% down payment is principal equity, not revenue</t>
  </si>
  <si>
    <t xml:space="preserve">Projection point</t>
  </si>
  <si>
    <t xml:space="preserve">Portfolio ($B)</t>
  </si>
  <si>
    <t xml:space="preserve">Gross interest revenue ($B)</t>
  </si>
  <si>
    <t xml:space="preserve">Application fees ($B)</t>
  </si>
  <si>
    <t xml:space="preserve">Distributable net profit ($B)</t>
  </si>
  <si>
    <t xml:space="preserve">Year 0 startup</t>
  </si>
  <si>
    <t xml:space="preserve">Year 4 full-term growth</t>
  </si>
  <si>
    <t xml:space="preserve">Year 10 maturity</t>
  </si>
  <si>
    <t xml:space="preserve">Additional NLA portfolio required to close the remaining mature SS gap</t>
  </si>
  <si>
    <t xml:space="preserve">Remaining SS gap ($B)</t>
  </si>
  <si>
    <t xml:space="preserve">Net earnings yield incl. fees</t>
  </si>
  <si>
    <t xml:space="preserve">Additional portfolio ($B)</t>
  </si>
  <si>
    <t xml:space="preserve">Conclusion</t>
  </si>
  <si>
    <t xml:space="preserve">Mature replacement assumptions</t>
  </si>
  <si>
    <t xml:space="preserve">Additional scale can help, but the mature portfolio does not close the SS gap by itself.</t>
  </si>
  <si>
    <t xml:space="preserve">NLA statutory controls: fixed 10% true annual interest; $100 application fee on loans over $1,000; 1% down payment on non-housing loans; no origination points, prepaid-interest fees, dealer markups, mandatory add-ons, buydown fees, obscured compounding/servicing charges, or prepayment penalties. Minimum underwriting, verified income and repayment capacity, loan-type collateral rules, debt-to-income limits, fraud controls, loss reserves, hardship restructuring, and lawful federal collection authority apply. Tax-record access is limited to statutory loan administration and collection with taxpayer-confidentiality safeguards. Civil recovery contractors may locate debtors/assets and serve process, but may not exercise criminal arrest powers.</t>
  </si>
  <si>
    <t xml:space="preserve">The fiscal path now uses Year 0 startup profit, Year 4 full-term growth profit, and Year 10 maturity profit. The mature scenario remains the steady-state destination rather than an immediate Year 0 assumption.</t>
  </si>
  <si>
    <t xml:space="preserve">National Auto Insurance Corporation (NAIC) - At-Cost Public Option</t>
  </si>
  <si>
    <t xml:space="preserve">Policy line</t>
  </si>
  <si>
    <t xml:space="preserve">Budget treatment</t>
  </si>
  <si>
    <t xml:space="preserve">Institutional purpose</t>
  </si>
  <si>
    <t xml:space="preserve">Bare-bones public auto insurance option</t>
  </si>
  <si>
    <t xml:space="preserve">Self-funded insurance corporation</t>
  </si>
  <si>
    <t xml:space="preserve">Disciplines private premiums through a low-cost public competitor.</t>
  </si>
  <si>
    <t xml:space="preserve">Core coverage</t>
  </si>
  <si>
    <t xml:space="preserve">Legally required liability plus basic collision</t>
  </si>
  <si>
    <t xml:space="preserve">Claims obligation</t>
  </si>
  <si>
    <t xml:space="preserve">No rental reimbursement, roadside assistance, luxury replacement, or bundled extras.</t>
  </si>
  <si>
    <t xml:space="preserve">Premium standard</t>
  </si>
  <si>
    <t xml:space="preserve">Actuarial expected claims + administration + fraud control + prudent reserves</t>
  </si>
  <si>
    <t xml:space="preserve">Operating receipts, not federal tax revenue</t>
  </si>
  <si>
    <t xml:space="preserve">The corporation does not seek distributable profit.</t>
  </si>
  <si>
    <t xml:space="preserve">Surplus treatment</t>
  </si>
  <si>
    <t xml:space="preserve">Retained for solvency, future premium reductions, or policyholder rebates</t>
  </si>
  <si>
    <t xml:space="preserve">No transfer to Social Security or Treasury</t>
  </si>
  <si>
    <t xml:space="preserve">Prevents insurance reserves from being counted as general revenue.</t>
  </si>
  <si>
    <t xml:space="preserve">Loss treatment</t>
  </si>
  <si>
    <t xml:space="preserve">Premium adjustments and reserves absorb ordinary volatility</t>
  </si>
  <si>
    <t xml:space="preserve">No automatic general-budget charge</t>
  </si>
  <si>
    <t xml:space="preserve">Extraordinary catastrophe support requires separate statutory appropriation.</t>
  </si>
  <si>
    <t xml:space="preserve">NAIC is distinct from the NLA. The NAIC operates at actuarial cost; the NLA is a fixed-rate public commercial lender that seeks net earnings after expenses and reserves.</t>
  </si>
  <si>
    <t xml:space="preserve">3-5% Energy Export Excise - 2024 Census Export Values (Active Deficit-Year Rate: 5%)</t>
  </si>
  <si>
    <t xml:space="preserve">Covered export category</t>
  </si>
  <si>
    <t xml:space="preserve">2024 export value ($B)</t>
  </si>
  <si>
    <t xml:space="preserve">Coverage note</t>
  </si>
  <si>
    <t xml:space="preserve">Crude oil</t>
  </si>
  <si>
    <t xml:space="preserve">Export sale value</t>
  </si>
  <si>
    <t xml:space="preserve">Fuel oil</t>
  </si>
  <si>
    <t xml:space="preserve">Refined fuel exports</t>
  </si>
  <si>
    <t xml:space="preserve">Natural gas liquids</t>
  </si>
  <si>
    <t xml:space="preserve">NGL exports</t>
  </si>
  <si>
    <t xml:space="preserve">Natural gas</t>
  </si>
  <si>
    <t xml:space="preserve">Pipeline and LNG end-use category</t>
  </si>
  <si>
    <t xml:space="preserve">Other petroleum products</t>
  </si>
  <si>
    <t xml:space="preserve">Other downstream petroleum exports</t>
  </si>
  <si>
    <t xml:space="preserve">Coal and fuels, other</t>
  </si>
  <si>
    <t xml:space="preserve">Coal and other fuels</t>
  </si>
  <si>
    <t xml:space="preserve">Metallurgical grade coal</t>
  </si>
  <si>
    <t xml:space="preserve">Metallurgical coal exports</t>
  </si>
  <si>
    <t xml:space="preserve">Electric energy</t>
  </si>
  <si>
    <t xml:space="preserve">Exported electricity</t>
  </si>
  <si>
    <t xml:space="preserve">Total covered energy exports</t>
  </si>
  <si>
    <t xml:space="preserve">The excise applies only to the customs value of covered energy exports. The statutory band remains 3-5%. The active rate is 5% whenever the prior-year consolidated replacement budget records a deficit, and 4% after balance is restored. Imports and domestic sales remain untouched.</t>
  </si>
  <si>
    <t xml:space="preserve">3% statutory floor</t>
  </si>
  <si>
    <t xml:space="preserve">Balanced-budget baseline</t>
  </si>
  <si>
    <t xml:space="preserve">Active deficit-year rate</t>
  </si>
  <si>
    <t xml:space="preserve">Entity-Level Anti-Deferral Tax - Form 4797, Like-Kind Deferral, and REMIC Residuals</t>
  </si>
  <si>
    <t xml:space="preserve">Active 10% source-level tax when gains are retained in an entity, trust, partnership, or real-estate structure rather than paid to or solely owned by an individual. Same-year individual distributions receive a dollar-for-dollar credit to prevent double taxation.</t>
  </si>
  <si>
    <t xml:space="preserve">Tax base component</t>
  </si>
  <si>
    <t xml:space="preserve">2023 national base ($B)</t>
  </si>
  <si>
    <t xml:space="preserve">Form 4797 combined gains, line 7</t>
  </si>
  <si>
    <t xml:space="preserve">Transaction-scale proxy for trade-up and business-property gains</t>
  </si>
  <si>
    <t xml:space="preserve">IRS Publication 4801, Form 4797 statistics</t>
  </si>
  <si>
    <t xml:space="preserve">Deferred gain from like-kind exchanges, Form 8824 line 24</t>
  </si>
  <si>
    <t xml:space="preserve">Deferred gain brought into the source-level base</t>
  </si>
  <si>
    <t xml:space="preserve">IRS Publication 4801, Form 8824 statistics</t>
  </si>
  <si>
    <t xml:space="preserve">Positive REMIC residual taxable income</t>
  </si>
  <si>
    <t xml:space="preserve">Negative combined national value floors at zero for active scoring</t>
  </si>
  <si>
    <t xml:space="preserve">IRS Publication 4801, Schedule E statistics</t>
  </si>
  <si>
    <t xml:space="preserve">Total active anti-deferral base</t>
  </si>
  <si>
    <t xml:space="preserve">Total active revenue</t>
  </si>
  <si>
    <t xml:space="preserve">Collected at the transaction/entity source; credited against the same economic income when later distributed to an individual.</t>
  </si>
  <si>
    <t xml:space="preserve">Policy construction: the 10% source tax closes indefinite nonrecognition and entity-retention chains without taxing the same dollar twice. It applies when no individual has received or solely owns the gain.</t>
  </si>
  <si>
    <t xml:space="preserve">Outsourcing Penalty - 10% Active Manufacturing Import Proxy</t>
  </si>
  <si>
    <t xml:space="preserve">PolicyBook v86 applies an absolute 10% tax to companies outsourcing more than half of manufacturing. The public-data proxy uses 2024 related-party manufacturing imports across NAICS 31-33; firm-level implementation replaces the proxy with the statutory &gt;50% test.</t>
  </si>
  <si>
    <t xml:space="preserve">NAICS sector</t>
  </si>
  <si>
    <t xml:space="preserve">2024 related-party imports ($B)</t>
  </si>
  <si>
    <t xml:space="preserve">Statutory rate</t>
  </si>
  <si>
    <t xml:space="preserve">Modeled revenue ($B)</t>
  </si>
  <si>
    <t xml:space="preserve">Coverage</t>
  </si>
  <si>
    <t xml:space="preserve">NAICS 31 - Food, textiles, apparel, leather</t>
  </si>
  <si>
    <t xml:space="preserve">Manufacturing imports</t>
  </si>
  <si>
    <t xml:space="preserve">U.S. Census Related-Party Trade 2024</t>
  </si>
  <si>
    <t xml:space="preserve">ACTIVE PROXY</t>
  </si>
  <si>
    <t xml:space="preserve">NAICS 32 - Chemicals, petroleum, plastics, nonmetallic minerals</t>
  </si>
  <si>
    <t xml:space="preserve">NAICS 33 - Primary/fabricated metals, machinery, computers, transport</t>
  </si>
  <si>
    <t xml:space="preserve">Total active proxy</t>
  </si>
  <si>
    <t xml:space="preserve">Affiliated manufacturing imports</t>
  </si>
  <si>
    <t xml:space="preserve">Census related-party trade</t>
  </si>
  <si>
    <t xml:space="preserve">Implementation rule: aggregate the affiliated corporate group and its controlled contractors over a rolling three-year period. When foreign manufacturing exceeds 50%, tax the customs value of covered foreign-manufactured goods and components entering the United States. The proxy is deliberately active until firm-level customs reports become available.</t>
  </si>
  <si>
    <t xml:space="preserve">Fair Profit Tax - Original 2024 Market Screening Study</t>
  </si>
  <si>
    <t xml:space="preserve">Active study of mass-produced physical goods above $100. A product enters the tax base only when price exceeds 10x materials, labor, and amortized R&amp;D cost. Art, boutique/custom production, software, and SaaS are excluded. The PolicyBook calculator rate is 0.5 percentage point for each completed multiple above 10x, capped at 50%.</t>
  </si>
  <si>
    <t xml:space="preserve">Market category</t>
  </si>
  <si>
    <t xml:space="preserve">2024 U.S. sales ($B)</t>
  </si>
  <si>
    <t xml:space="preserve">Mass-produced eligible share</t>
  </si>
  <si>
    <t xml:space="preserve">Sales above $100 share</t>
  </si>
  <si>
    <t xml:space="preserve">Share exceeding 10x fully loaded cost</t>
  </si>
  <si>
    <t xml:space="preserve">Average qualifying multiple</t>
  </si>
  <si>
    <t xml:space="preserve">Calculator rate</t>
  </si>
  <si>
    <t xml:space="preserve">Qualifying sales base ($B)</t>
  </si>
  <si>
    <t xml:space="preserve">Fair Profit revenue ($B)</t>
  </si>
  <si>
    <t xml:space="preserve">Source / construction</t>
  </si>
  <si>
    <t xml:space="preserve">Prescription drugs</t>
  </si>
  <si>
    <t xml:space="preserve">CMS 2024 retail prescription-drug spending; original eligibility and markup screening assumptions</t>
  </si>
  <si>
    <t xml:space="preserve">ACTIVE STUDY</t>
  </si>
  <si>
    <t xml:space="preserve">Other health and medical goods</t>
  </si>
  <si>
    <t xml:space="preserve">Census MRTS: health/personal care less pharmacies; original screening assumptions</t>
  </si>
  <si>
    <t xml:space="preserve">Electronics and appliances</t>
  </si>
  <si>
    <t xml:space="preserve">Census MRTS electronics/appliance stores; original screening assumptions</t>
  </si>
  <si>
    <t xml:space="preserve">Auto parts, accessories, and tires</t>
  </si>
  <si>
    <t xml:space="preserve">Census MRTS; original screening assumptions</t>
  </si>
  <si>
    <t xml:space="preserve">Hardware</t>
  </si>
  <si>
    <t xml:space="preserve">Census MRTS hardware stores; original screening assumptions</t>
  </si>
  <si>
    <t xml:space="preserve">Furniture</t>
  </si>
  <si>
    <t xml:space="preserve">Census MRTS furniture stores; original screening assumptions</t>
  </si>
  <si>
    <t xml:space="preserve">Clothing</t>
  </si>
  <si>
    <t xml:space="preserve">Census MRTS clothing stores; original screening assumptions</t>
  </si>
  <si>
    <t xml:space="preserve">Shoes</t>
  </si>
  <si>
    <t xml:space="preserve">Census MRTS shoe stores; original screening assumptions</t>
  </si>
  <si>
    <t xml:space="preserve">Sporting goods</t>
  </si>
  <si>
    <t xml:space="preserve">Census MRTS sporting goods stores; original screening assumptions</t>
  </si>
  <si>
    <t xml:space="preserve">Office supplies and stationery</t>
  </si>
  <si>
    <t xml:space="preserve">Census MRTS office supplies/stationery; original screening assumptions</t>
  </si>
  <si>
    <t xml:space="preserve">Total active screening study</t>
  </si>
  <si>
    <t xml:space="preserve">Official sales + model assumptions</t>
  </si>
  <si>
    <t xml:space="preserve">Interpretation: this is an original national market study rather than an observed SKU census. The active revenue estimate uses official annual sales, then applies explicit category-level screens for mass production, price above $100, prevalence of &gt;10x fully loaded cost, and the PolicyBook calculator. Annual tax filings will replace assumptions with product-level price, unit cost, labor, and amortized R&amp;D reports.</t>
  </si>
  <si>
    <t xml:space="preserve">Loan Scumming Tax - 10-Year Audit and Large-Debt Payoff Tax</t>
  </si>
  <si>
    <t xml:space="preserve">The active model combines the 5% tax on annual debt payoffs above five times median salary with retroactive 10% taxation when the 10-year audit finds that asset-backed borrowing replaced realization of taxable income.</t>
  </si>
  <si>
    <t xml:space="preserve">Base / assumption</t>
  </si>
  <si>
    <t xml:space="preserve">Revenue / result ($B)</t>
  </si>
  <si>
    <t xml:space="preserve">Source / status</t>
  </si>
  <si>
    <t xml:space="preserve">Securities-backed personal-use loans</t>
  </si>
  <si>
    <t xml:space="preserve">Asset-backed borrowing stock</t>
  </si>
  <si>
    <t xml:space="preserve">Federal Reserve FEDS Note, 2024</t>
  </si>
  <si>
    <t xml:space="preserve">Margin loans</t>
  </si>
  <si>
    <t xml:space="preserve">Federal Reserve / FINRA scale proxy</t>
  </si>
  <si>
    <t xml:space="preserve">Combined asset-backed borrowing stock</t>
  </si>
  <si>
    <t xml:space="preserve">Sum</t>
  </si>
  <si>
    <t xml:space="preserve">Active modeled stock</t>
  </si>
  <si>
    <t xml:space="preserve">Annual payoff turnover</t>
  </si>
  <si>
    <t xml:space="preserve">Share of stock repaid annually</t>
  </si>
  <si>
    <t xml:space="preserve">Model assumption</t>
  </si>
  <si>
    <t xml:space="preserve">Annual large-debt payoff base</t>
  </si>
  <si>
    <t xml:space="preserve">5% transfer-tax base</t>
  </si>
  <si>
    <t xml:space="preserve">PolicyBook v86</t>
  </si>
  <si>
    <t xml:space="preserve">10+ year audit-eligible share</t>
  </si>
  <si>
    <t xml:space="preserve">Long-duration share</t>
  </si>
  <si>
    <t xml:space="preserve">Audit finding rate for tax-avoidance use</t>
  </si>
  <si>
    <t xml:space="preserve">Share recharacterized as income</t>
  </si>
  <si>
    <t xml:space="preserve">Retroactively recharacterized income</t>
  </si>
  <si>
    <t xml:space="preserve">10% income tax</t>
  </si>
  <si>
    <t xml:space="preserve">Total active Loan Scumming revenue</t>
  </si>
  <si>
    <t xml:space="preserve">Payoff tax plus retroactive income tax</t>
  </si>
  <si>
    <t xml:space="preserve">The implementation aggregates related loans and lenders by taxpayer so one payoff cannot be fragmented below the threshold. Primary-home acquisition mortgages and ordinary business operating loans remain outside the audit unless facts show they were used to avoid realization.</t>
  </si>
  <si>
    <t xml:space="preserve">Protectorate Fee - Legacy Active Country Base Restored</t>
  </si>
  <si>
    <t xml:space="preserve">The older tax study's active formula is restored: covered countries pay 1% of total national government expenditure for material reliance on United States defense protection while failing the adopted contribution standard.</t>
  </si>
  <si>
    <t xml:space="preserve">#</t>
  </si>
  <si>
    <t xml:space="preserve">Country</t>
  </si>
  <si>
    <t xml:space="preserve">Base year</t>
  </si>
  <si>
    <t xml:space="preserve">Government expenditure ($B)</t>
  </si>
  <si>
    <t xml:space="preserve">Fee rate</t>
  </si>
  <si>
    <t xml:space="preserve">Annual fee ($B)</t>
  </si>
  <si>
    <t xml:space="preserve">Japan</t>
  </si>
  <si>
    <t xml:space="preserve">Germany</t>
  </si>
  <si>
    <t xml:space="preserve">United Kingdom</t>
  </si>
  <si>
    <t xml:space="preserve">Italy</t>
  </si>
  <si>
    <t xml:space="preserve">Canada</t>
  </si>
  <si>
    <t xml:space="preserve">Mexico</t>
  </si>
  <si>
    <t xml:space="preserve">South Korea</t>
  </si>
  <si>
    <t xml:space="preserve">Australia</t>
  </si>
  <si>
    <t xml:space="preserve">Spain</t>
  </si>
  <si>
    <t xml:space="preserve">Saudi Arabia</t>
  </si>
  <si>
    <t xml:space="preserve">Netherlands</t>
  </si>
  <si>
    <t xml:space="preserve">Turkey</t>
  </si>
  <si>
    <t xml:space="preserve">Brazil</t>
  </si>
  <si>
    <t xml:space="preserve">Belgium</t>
  </si>
  <si>
    <t xml:space="preserve">United Arab Emirates (UAE)</t>
  </si>
  <si>
    <t xml:space="preserve">Israel</t>
  </si>
  <si>
    <t xml:space="preserve">Singapore</t>
  </si>
  <si>
    <t xml:space="preserve">South Africa</t>
  </si>
  <si>
    <t xml:space="preserve">Philippines</t>
  </si>
  <si>
    <t xml:space="preserve">Denmark</t>
  </si>
  <si>
    <t xml:space="preserve">Egypt</t>
  </si>
  <si>
    <t xml:space="preserve">Poland</t>
  </si>
  <si>
    <t xml:space="preserve">Portugal</t>
  </si>
  <si>
    <t xml:space="preserve">Iraq</t>
  </si>
  <si>
    <t xml:space="preserve">New Zealand</t>
  </si>
  <si>
    <t xml:space="preserve">Czech Republic</t>
  </si>
  <si>
    <t xml:space="preserve">Romania</t>
  </si>
  <si>
    <t xml:space="preserve">Thailand</t>
  </si>
  <si>
    <t xml:space="preserve">Greece</t>
  </si>
  <si>
    <t xml:space="preserve">Peru</t>
  </si>
  <si>
    <t xml:space="preserve">Ukraine (pre-war)</t>
  </si>
  <si>
    <t xml:space="preserve">Hungary</t>
  </si>
  <si>
    <t xml:space="preserve">Kuwait</t>
  </si>
  <si>
    <t xml:space="preserve">Qatar</t>
  </si>
  <si>
    <t xml:space="preserve">Colombia</t>
  </si>
  <si>
    <t xml:space="preserve">Bulgaria</t>
  </si>
  <si>
    <t xml:space="preserve">Slovakia</t>
  </si>
  <si>
    <t xml:space="preserve">Morocco</t>
  </si>
  <si>
    <t xml:space="preserve">Oman</t>
  </si>
  <si>
    <t xml:space="preserve">Lithuania</t>
  </si>
  <si>
    <t xml:space="preserve">Uzbekistan</t>
  </si>
  <si>
    <t xml:space="preserve">Ghana</t>
  </si>
  <si>
    <t xml:space="preserve">Panama</t>
  </si>
  <si>
    <t xml:space="preserve">Latvia</t>
  </si>
  <si>
    <t xml:space="preserve">Estonia</t>
  </si>
  <si>
    <t xml:space="preserve">Uganda</t>
  </si>
  <si>
    <t xml:space="preserve">Tunisia</t>
  </si>
  <si>
    <t xml:space="preserve">Jordan</t>
  </si>
  <si>
    <t xml:space="preserve">El Salvador</t>
  </si>
  <si>
    <t xml:space="preserve">Honduras</t>
  </si>
  <si>
    <t xml:space="preserve">Iceland</t>
  </si>
  <si>
    <t xml:space="preserve">Cyprus</t>
  </si>
  <si>
    <t xml:space="preserve">Senegal</t>
  </si>
  <si>
    <t xml:space="preserve">Georgia</t>
  </si>
  <si>
    <t xml:space="preserve">Lebanon</t>
  </si>
  <si>
    <t xml:space="preserve">Mali</t>
  </si>
  <si>
    <t xml:space="preserve">Somalia</t>
  </si>
  <si>
    <t xml:space="preserve">Cameroon</t>
  </si>
  <si>
    <t xml:space="preserve">Ethiopia</t>
  </si>
  <si>
    <t xml:space="preserve">Kenya</t>
  </si>
  <si>
    <t xml:space="preserve">Chad</t>
  </si>
  <si>
    <t xml:space="preserve">Niger</t>
  </si>
  <si>
    <t xml:space="preserve">Gabon</t>
  </si>
  <si>
    <t xml:space="preserve">Kosovo</t>
  </si>
  <si>
    <t xml:space="preserve">Bosnia &amp; Herzegovina</t>
  </si>
  <si>
    <t xml:space="preserve">Serbia</t>
  </si>
  <si>
    <t xml:space="preserve">Micronesia</t>
  </si>
  <si>
    <t xml:space="preserve">Marshall Islands</t>
  </si>
  <si>
    <t xml:space="preserve">Palau</t>
  </si>
  <si>
    <t xml:space="preserve">Guinea</t>
  </si>
  <si>
    <t xml:space="preserve">Eritrea</t>
  </si>
  <si>
    <t xml:space="preserve">Pakistan</t>
  </si>
  <si>
    <t xml:space="preserve">Bahrain</t>
  </si>
  <si>
    <t xml:space="preserve">Djibouti</t>
  </si>
  <si>
    <t xml:space="preserve">Azerbaijan</t>
  </si>
  <si>
    <t xml:space="preserve">Rwanda</t>
  </si>
  <si>
    <t xml:space="preserve">Mauritania</t>
  </si>
  <si>
    <t xml:space="preserve">TOTAL</t>
  </si>
  <si>
    <t xml:space="preserve">77 covered countries</t>
  </si>
  <si>
    <t xml:space="preserve">Base years range from 2018 to 2022 and are carried forward from Michael Allen's Tax Study ModelSheet. The fee is active in the mature replacement model as directed; a future update may refresh each country's expenditure year without changing the statutory formula.</t>
  </si>
  <si>
    <t xml:space="preserve">Citizen Data Royalty — 2024 U.S. Market Estimate</t>
  </si>
  <si>
    <t xml:space="preserve">30% royalty on covered gross U.S. revenue attributable to collecting, compiling, profiling, licensing, targeting with, or otherwise monetizing citizen data. Collected through General Government and routed in full to the Citizen Wealth Fund.</t>
  </si>
  <si>
    <t xml:space="preserve">Sector / revenue channel</t>
  </si>
  <si>
    <t xml:space="preserve">Gross market ($B)</t>
  </si>
  <si>
    <t xml:space="preserve">U.S. share</t>
  </si>
  <si>
    <t xml:space="preserve">Citizen-data dependence</t>
  </si>
  <si>
    <t xml:space="preserve">Pre-overlap base ($B)</t>
  </si>
  <si>
    <t xml:space="preserve">Overlap deduction</t>
  </si>
  <si>
    <t xml:space="preserve">Overlap amount ($B)</t>
  </si>
  <si>
    <t xml:space="preserve">Net taxable base ($B)</t>
  </si>
  <si>
    <t xml:space="preserve">Royalty rate</t>
  </si>
  <si>
    <t xml:space="preserve">Royalty ($B)</t>
  </si>
  <si>
    <t xml:space="preserve">Digital advertising</t>
  </si>
  <si>
    <t xml:space="preserve">Data brokers and commercial data licensing</t>
  </si>
  <si>
    <t xml:space="preserve">Credit reporting, workforce and identity data</t>
  </si>
  <si>
    <t xml:space="preserve">Market research, panels and audience measurement</t>
  </si>
  <si>
    <t xml:space="preserve">Location intelligence</t>
  </si>
  <si>
    <t xml:space="preserve">Vehicle telematics data services</t>
  </si>
  <si>
    <t xml:space="preserve">https://www.maximizemarketresearch.com/market-report/north-america-telematics-market/88577/</t>
  </si>
  <si>
    <t xml:space="preserve">Lead generation and people-based prospect data</t>
  </si>
  <si>
    <t xml:space="preserve">https://www.rootsanalysis.com/lead-generation-market</t>
  </si>
  <si>
    <t xml:space="preserve">Policy control</t>
  </si>
  <si>
    <t xml:space="preserve">Name</t>
  </si>
  <si>
    <t xml:space="preserve">Collection</t>
  </si>
  <si>
    <t xml:space="preserve">Administered through General Government</t>
  </si>
  <si>
    <t xml:space="preserve">Routing</t>
  </si>
  <si>
    <t xml:space="preserve">100% transferred to the Citizen Wealth Fund</t>
  </si>
  <si>
    <t xml:space="preserve">Treasury use</t>
  </si>
  <si>
    <t xml:space="preserve">Restricted; no ordinary General Government spending</t>
  </si>
  <si>
    <t xml:space="preserve">Double-count control</t>
  </si>
  <si>
    <t xml:space="preserve">Credit royalty already paid upstream on the same licensed dataset</t>
  </si>
  <si>
    <t xml:space="preserve">Flat 5% Luxury Tax — 2024 Active Market Base</t>
  </si>
  <si>
    <t xml:space="preserve">Point-of-sale or import levy on qualifying nonproductive luxury purchases. The central base combines personal luxury goods, luxury and exotic vehicles, luxury yachts, and U.S. business jets. Productive business, industrial, agricultural, medical, educational, and ordinary household purchases are excluded.</t>
  </si>
  <si>
    <t xml:space="preserve">Market component</t>
  </si>
  <si>
    <t xml:space="preserve">2024 U.S. base ($B)</t>
  </si>
  <si>
    <t xml:space="preserve">Taxable share</t>
  </si>
  <si>
    <t xml:space="preserve">Taxable base ($B)</t>
  </si>
  <si>
    <t xml:space="preserve">Flat rate</t>
  </si>
  <si>
    <t xml:space="preserve">Source / rationale</t>
  </si>
  <si>
    <t xml:space="preserve">Personal luxury goods</t>
  </si>
  <si>
    <t xml:space="preserve">Luxury and exotic vehicles</t>
  </si>
  <si>
    <t xml:space="preserve">Luxury yachts</t>
  </si>
  <si>
    <t xml:space="preserve">U.S. business jets</t>
  </si>
  <si>
    <t xml:space="preserve">Statutory element</t>
  </si>
  <si>
    <t xml:space="preserve">Flat 5%</t>
  </si>
  <si>
    <t xml:space="preserve">Collection point</t>
  </si>
  <si>
    <t xml:space="preserve">Retail sale, auction, registration, or import</t>
  </si>
  <si>
    <t xml:space="preserve">Business-use exclusion</t>
  </si>
  <si>
    <t xml:space="preserve">Allowed only for verified productive or operating use</t>
  </si>
  <si>
    <t xml:space="preserve">Primary-home treatment</t>
  </si>
  <si>
    <t xml:space="preserve">Outside this tax; land policy governed by LVT</t>
  </si>
  <si>
    <t xml:space="preserve">Used-goods treatment</t>
  </si>
  <si>
    <t xml:space="preserve">Tax only dealer/auction commercial sale; private household resale excluded</t>
  </si>
  <si>
    <t xml:space="preserve">Stacking</t>
  </si>
  <si>
    <t xml:space="preserve">May coexist with ordinary sales or excise taxes</t>
  </si>
  <si>
    <t xml:space="preserve">Anti-avoidance</t>
  </si>
  <si>
    <t xml:space="preserve">Related purchases and installment transfers aggregate to the full transaction price</t>
  </si>
  <si>
    <t xml:space="preserve">Policy Book Update Digest | Tax Overhaul v28 / Deep Tax Burden Study v35</t>
  </si>
  <si>
    <t xml:space="preserve">Emergency Revenue Bridge</t>
  </si>
  <si>
    <t xml:space="preserve">Emergency-only draw on dedicated-ledger surplus during a declared fiscal crisis; principal and corpus are never touched.</t>
  </si>
  <si>
    <t xml:space="preserve">Up to 15% of year surplus, 24-month cap, mandatory repayment</t>
  </si>
  <si>
    <t xml:space="preserve">No fiscal impact (contingent mechanism only)</t>
  </si>
  <si>
    <t xml:space="preserve">PolicyBook Section 2. Governance safeguard; not modeled in the mature-year baseline.</t>
  </si>
  <si>
    <t xml:space="preserve">Policy area</t>
  </si>
  <si>
    <t xml:space="preserve">Approved change</t>
  </si>
  <si>
    <t xml:space="preserve">Rate / rule</t>
  </si>
  <si>
    <t xml:space="preserve">Active 2024 value ($B)</t>
  </si>
  <si>
    <t xml:space="preserve">PolicyBook implementation text</t>
  </si>
  <si>
    <t xml:space="preserve">Liquid personal income</t>
  </si>
  <si>
    <t xml:space="preserve">Use cash or liquid income actually available to the individual; exclude Social Security, public assistance, and unavailable noncash accounting income.</t>
  </si>
  <si>
    <t xml:space="preserve">10% individual tax; 3% citizen SS; HSA tiers</t>
  </si>
  <si>
    <t xml:space="preserve">General / SS / Healthcare</t>
  </si>
  <si>
    <t xml:space="preserve">One statutory liquid-income definition governs individual tax, citizen SS, and HSA calculations.</t>
  </si>
  <si>
    <t xml:space="preserve">Retirement income</t>
  </si>
  <si>
    <t xml:space="preserve">Include taxable pensions, annuities, traditional IRA and similar previously untaxed distributions.</t>
  </si>
  <si>
    <t xml:space="preserve">Included in liquid base</t>
  </si>
  <si>
    <t xml:space="preserve">Tax the previously untaxed portion when distributed; do not tax return of after-tax principal.</t>
  </si>
  <si>
    <t xml:space="preserve">Royalties and cash receipts</t>
  </si>
  <si>
    <t xml:space="preserve">Include royalties, data-licensing payments, taxable legal settlements, and foreign cash income.</t>
  </si>
  <si>
    <t xml:space="preserve">All cash or liquid income available to the individual enters the common base unless expressly excluded.</t>
  </si>
  <si>
    <t xml:space="preserve">Separate source-level levy on positive distributions.</t>
  </si>
  <si>
    <t xml:space="preserve">Applies when assets or earnings are distributed to a beneficiary; coordinate credits to avoid duplicate tax.</t>
  </si>
  <si>
    <t xml:space="preserve">Anti-deferral real estate/entity tax</t>
  </si>
  <si>
    <t xml:space="preserve">Tax Form 4797 gains, positive REMIC residuals, deferred like-kind gains, and comparable trade-up/retention structures.</t>
  </si>
  <si>
    <t xml:space="preserve">A source-level anti-loophole levy; later individual distribution receives credit for tax already paid.</t>
  </si>
  <si>
    <t xml:space="preserve">Employer capital wages</t>
  </si>
  <si>
    <t xml:space="preserve">Employer SS applies to wages, bonuses, stock, RSUs, restricted stock, and equity awards.</t>
  </si>
  <si>
    <t xml:space="preserve">Value equity when the employee obtains an enforceable economic interest.</t>
  </si>
  <si>
    <t xml:space="preserve">Employer equity surtax</t>
  </si>
  <si>
    <t xml:space="preserve">Progressive employer-paid levy; active aggregate score retained.</t>
  </si>
  <si>
    <t xml:space="preserve">9% aggregate model</t>
  </si>
  <si>
    <t xml:space="preserve">Marginal schedule through $1M; tranche above $1M set at adoption.</t>
  </si>
  <si>
    <t xml:space="preserve">Apply to qualifying firms outsourcing more than half of manufacturing.</t>
  </si>
  <si>
    <t xml:space="preserve">Active proxy uses related-party manufacturing imports pending firm-level customs testing.</t>
  </si>
  <si>
    <t xml:space="preserve">Mass-produced physical products above $100 and priced more than 10x loaded materials, labor, and averaged R&amp;D cost.</t>
  </si>
  <si>
    <t xml:space="preserve">Exclude art, boutique/custom work, digital products, and SaaS.</t>
  </si>
  <si>
    <t xml:space="preserve">Loan Scumming</t>
  </si>
  <si>
    <t xml:space="preserve">5% large-debt payoff tax plus 10% retroactive income treatment after avoidance audit.</t>
  </si>
  <si>
    <t xml:space="preserve">5% + 10%</t>
  </si>
  <si>
    <t xml:space="preserve">Targets asset-backed personal borrowing used to avoid realization.</t>
  </si>
  <si>
    <t xml:space="preserve">Restore legacy 77-country calculation.</t>
  </si>
  <si>
    <t xml:space="preserve">Annual fee equals 1% of covered government expenditure for protected under-contributing states.</t>
  </si>
  <si>
    <t xml:space="preserve">Rename Citizen Data Tax; assess covered gross revenue from commercial citizen-data monetization.</t>
  </si>
  <si>
    <t xml:space="preserve">Citizen Wealth Fund</t>
  </si>
  <si>
    <t xml:space="preserve">Collected through General Government and transferred in full to the Citizen Wealth Fund.</t>
  </si>
  <si>
    <t xml:space="preserve">Apply a universal flat levy to qualifying luxury purchases.</t>
  </si>
  <si>
    <t xml:space="preserve">Active base covers personal luxury goods, luxury/exotic vehicles, luxury yachts, and U.S. business jets.</t>
  </si>
  <si>
    <t xml:space="preserve">Book the full federal land-rent capture scenario.</t>
  </si>
  <si>
    <t xml:space="preserve">Primary family residence exempt; no headline revenue haircut.</t>
  </si>
  <si>
    <t xml:space="preserve">Three-ledger standard</t>
  </si>
  <si>
    <t xml:space="preserve">General Government, Healthcare, and Social Security each publish their own balance, then consolidate once.</t>
  </si>
  <si>
    <t xml:space="preserve">No double counting</t>
  </si>
  <si>
    <t xml:space="preserve">All ledgers</t>
  </si>
  <si>
    <t xml:space="preserve">Internal transfers appear as expense in one ledger and funding in another, then eliminate in consolidation.</t>
  </si>
  <si>
    <t xml:space="preserve">Mature replacement baseline</t>
  </si>
  <si>
    <t xml:space="preserve">Model all approved mechanisms operating together under ordinary mature conditions.</t>
  </si>
  <si>
    <t xml:space="preserve">Active central case</t>
  </si>
  <si>
    <t xml:space="preserve">Rollout costs and immature institutional stages remain separate from the recurring replacement-year headline.</t>
  </si>
  <si>
    <t xml:space="preserve">NHDC Charter Standard</t>
  </si>
  <si>
    <t xml:space="preserve">NHDC governed by a Charter Board split between a legislative health committee and executive cabinet appointees; both must approve before a change becomes a bill.</t>
  </si>
  <si>
    <t xml:space="preserve">Dual-body approval gate</t>
  </si>
  <si>
    <t xml:space="preserve">No fiscal impact (governance only)</t>
  </si>
  <si>
    <t xml:space="preserve">PolicyBook Section 3. Does not alter the NHDC domestic price ceiling, export margin, or licensing revenue already booked.</t>
  </si>
  <si>
    <t xml:space="preserve">Citizenship Processing Clock</t>
  </si>
  <si>
    <t xml:space="preserve">Fixed 180-day processing clock on Contribution, Service, and Educational Citizenship applications; RCN rate drops to 3% for each day the government runs late.</t>
  </si>
  <si>
    <t xml:space="preserve">180-day clock; late-day RCN penalty</t>
  </si>
  <si>
    <t xml:space="preserve">No fiscal impact (administrative penalty, not modeled as revenue)</t>
  </si>
  <si>
    <t xml:space="preserve">PolicyBook Section 7. RCN base rate (7% employee / 7% employer) used in Noncitizen_SS_Model is unchanged; this is a compliance backstop, not a rate change.</t>
  </si>
  <si>
    <t xml:space="preserve">Permit Velocity Incentive</t>
  </si>
  <si>
    <t xml:space="preserve">States clearing 90% of Class Permit System filings on time for three years earn federal siting and grant priority; states falling below 90% for two years lose it.</t>
  </si>
  <si>
    <t xml:space="preserve">Priority-tier eligibility test</t>
  </si>
  <si>
    <t xml:space="preserve">No fiscal impact (allocation priority, not a new outlay or revenue line)</t>
  </si>
  <si>
    <t xml:space="preserve">PolicyBook Section 16. Does not change any booked infrastructure, campus, or freeport revenue line.</t>
  </si>
  <si>
    <t xml:space="preserve">NMA Custodianship of the National Lending Authority</t>
  </si>
  <si>
    <t xml:space="preserve">NLA becomes a chartered subsidiary of the NMA, governed by the same Charter Board structure as NHDC.</t>
  </si>
  <si>
    <t xml:space="preserve">PolicyBook Section 18. NLA fixed 10% lending rate and NLA_Model profit ramp are unchanged.</t>
  </si>
  <si>
    <t xml:space="preserve">Lending Authority Ledger Lock</t>
  </si>
  <si>
    <t xml:space="preserve">NLA fixed rate and NMA mandate protected by Charter Board approval plus a two-thirds House and Chamber of Communities vote.</t>
  </si>
  <si>
    <t xml:space="preserve">Supermajority amendment protection</t>
  </si>
  <si>
    <t xml:space="preserve">PolicyBook Section 18. Protects, but does not alter, the NLA_Model and NLA domestic/institutional profit figures already booked.</t>
  </si>
  <si>
    <t xml:space="preserve">1% Idle Wealth Levy - Concentrated Nonproductive Financial Reserves</t>
  </si>
  <si>
    <t xml:space="preserve">Excise on the privilege of maintaining ultra-large, nonproductive financial reserves. The levy is measured by covered net asset value, with full credits for productive deployment and for tax paid at another ownership tier.</t>
  </si>
  <si>
    <t xml:space="preserve">Tax-base component</t>
  </si>
  <si>
    <t xml:space="preserve">Gross pool ($B)</t>
  </si>
  <si>
    <t xml:space="preserve">Exclusion / covered share</t>
  </si>
  <si>
    <t xml:space="preserve">Net covered base ($B)</t>
  </si>
  <si>
    <t xml:space="preserve">Individuals: top 0.1% corporate equities and mutual-fund shares</t>
  </si>
  <si>
    <t xml:space="preserve">Federal Reserve DFA, 2024 Q4. Removes 15% for threshold allowance, retirement/public-interest accounts, and reporting mismatch.</t>
  </si>
  <si>
    <t xml:space="preserve">Individual nonproductive share after exclusions</t>
  </si>
  <si>
    <t xml:space="preserve">Central case: 35% lacks a qualifying productive-deployment safe harbor.</t>
  </si>
  <si>
    <t xml:space="preserve">Managed idle assets: hedge-fund net asset value</t>
  </si>
  <si>
    <t xml:space="preserve">SEC Form PF, 2024 Q4. Managers assess and remit the levy on behalf of beneficial clients from covered managed assets.</t>
  </si>
  <si>
    <t xml:space="preserve">Cross-tier credit</t>
  </si>
  <si>
    <t xml:space="preserve">No credit. A managed-asset levy and an individual-level levy may both apply when each statutory base is independently satisfied.</t>
  </si>
  <si>
    <t xml:space="preserve">Central booked result</t>
  </si>
  <si>
    <t xml:space="preserve">Individual covered base</t>
  </si>
  <si>
    <t xml:space="preserve">After threshold and productive-deployment exclusions</t>
  </si>
  <si>
    <t xml:space="preserve">Managed idle-asset base</t>
  </si>
  <si>
    <t xml:space="preserve">Manager remits on behalf of clients; levy may coexist with an individual-level assessment</t>
  </si>
  <si>
    <t xml:space="preserve">Total certified Idle Wealth base</t>
  </si>
  <si>
    <t xml:space="preserve">Art, collectibles, offshore wrappers, and other stores of value remain legally covered but booked at zero until reporting exists</t>
  </si>
  <si>
    <t xml:space="preserve">Scenario analysis</t>
  </si>
  <si>
    <t xml:space="preserve">Individual idle share</t>
  </si>
  <si>
    <t xml:space="preserve">Managed-asset idle share</t>
  </si>
  <si>
    <t xml:space="preserve">Tax base ($B)</t>
  </si>
  <si>
    <t xml:space="preserve">Budget implication</t>
  </si>
  <si>
    <t xml:space="preserve">Low</t>
  </si>
  <si>
    <t xml:space="preserve">Balances the pre-change budget with a small recurring margin</t>
  </si>
  <si>
    <t xml:space="preserve">Produces a stronger recurring consolidated surplus</t>
  </si>
  <si>
    <t xml:space="preserve">High</t>
  </si>
  <si>
    <t xml:space="preserve">Creates a larger debt-reduction margin</t>
  </si>
  <si>
    <t xml:space="preserve">Statutory base rules</t>
  </si>
  <si>
    <t xml:space="preserve">Covered taxpayer</t>
  </si>
  <si>
    <t xml:space="preserve">Individuals and pooled speculative funds. Trusts and estates remain under separate taxes unless acting as wrappers for a covered taxpayer.</t>
  </si>
  <si>
    <t xml:space="preserve">Threshold</t>
  </si>
  <si>
    <t xml:space="preserve">Individual coverage begins only above 100 times median U.S. retirement wealth, presently modeled near $150 million.</t>
  </si>
  <si>
    <t xml:space="preserve">Covered assets</t>
  </si>
  <si>
    <t xml:space="preserve">Concentrated public securities, fund interests, art, collectibles, offshore financial wrappers, and equivalent stores of financial value.</t>
  </si>
  <si>
    <t xml:space="preserve">Productive safe harbor</t>
  </si>
  <si>
    <t xml:space="preserve">New issues, direct business capitalization, domestic plant and equipment, qualified venture investment, infrastructure, active lending, and genuine operating-control stakes.</t>
  </si>
  <si>
    <t xml:space="preserve">Managed-asset levy</t>
  </si>
  <si>
    <t xml:space="preserve">The beneficial client owes the tax. The manager calculates, withholds, and remits it from the covered account as statutory paying agent.</t>
  </si>
  <si>
    <t xml:space="preserve">No cross-tier credit</t>
  </si>
  <si>
    <t xml:space="preserve">The managed-asset levy and individual levy are separate charges. Both may apply when the fund-level and individual-level statutory bases are independently met.</t>
  </si>
  <si>
    <t xml:space="preserve">Buy-Borrow-Die</t>
  </si>
  <si>
    <t xml:space="preserve">Personal borrowing secured by covered idle assets remains in the covered base and cannot reduce net value.</t>
  </si>
  <si>
    <t xml:space="preserve">Payment</t>
  </si>
  <si>
    <t xml:space="preserve">Annual withholding by managers or direct payment by individuals. A four-year Tax Debt schedule remains available for genuinely illiquid assets.</t>
  </si>
  <si>
    <t xml:space="preserve">Total Government Revenue View - Year 10 Mature Fully Inclusive Model</t>
  </si>
  <si>
    <t xml:space="preserve">All Policy Book taxes, duties, royalties, contributions, public-enterprise earnings, spectrum receipts, enterprise services, and mature public-investment earnings are included once. LVT is carried unchanged.</t>
  </si>
  <si>
    <t xml:space="preserve">Revenue class</t>
  </si>
  <si>
    <t xml:space="preserve">Included in Total Government Revenue</t>
  </si>
  <si>
    <t xml:space="preserve">Included in operating Treasury</t>
  </si>
  <si>
    <t xml:space="preserve">Yes</t>
  </si>
  <si>
    <t xml:space="preserve">Tax_Revenue_2024 unrestricted subtotal</t>
  </si>
  <si>
    <t xml:space="preserve">No</t>
  </si>
  <si>
    <t xml:space="preserve">Dedicated to Citizen Wealth Fund</t>
  </si>
  <si>
    <t xml:space="preserve">Citizen Social Security contribution</t>
  </si>
  <si>
    <t xml:space="preserve">Dedicated Social Security revenue</t>
  </si>
  <si>
    <t xml:space="preserve">Employer Social Security contribution</t>
  </si>
  <si>
    <t xml:space="preserve">Resident Contributor incremental contribution</t>
  </si>
  <si>
    <t xml:space="preserve">NLA domestic distributable profit</t>
  </si>
  <si>
    <t xml:space="preserve">Dedicated Social Security earnings at Year 10 NLA maturity</t>
  </si>
  <si>
    <t xml:space="preserve">Social Security trust investment income</t>
  </si>
  <si>
    <t xml:space="preserve">Public investment earnings</t>
  </si>
  <si>
    <t xml:space="preserve">Year 10 gross NCC; SS to breakeven, residual to NIRF</t>
  </si>
  <si>
    <t xml:space="preserve">Government revenue retained in national healthcare floor</t>
  </si>
  <si>
    <t xml:space="preserve">NHDC international export margin</t>
  </si>
  <si>
    <t xml:space="preserve">Foreign commercial earnings</t>
  </si>
  <si>
    <t xml:space="preserve">Foreign licensing and manufacturing-contract earnings</t>
  </si>
  <si>
    <t xml:space="preserve">Dedicated catastrophic-care revenue</t>
  </si>
  <si>
    <t xml:space="preserve">Employer catastrophic-care contribution</t>
  </si>
  <si>
    <t xml:space="preserve">Restricted national healthcare pool</t>
  </si>
  <si>
    <t xml:space="preserve">Protected NIRF principal</t>
  </si>
  <si>
    <t xml:space="preserve">Citizen-owned HSA contributions</t>
  </si>
  <si>
    <t xml:space="preserve">Private citizen assets</t>
  </si>
  <si>
    <t xml:space="preserve">Worker-owned account funding</t>
  </si>
  <si>
    <t xml:space="preserve">Summary</t>
  </si>
  <si>
    <t xml:space="preserve">All external government collections and public earnings</t>
  </si>
  <si>
    <t xml:space="preserve">Dedicated Government Revenue</t>
  </si>
  <si>
    <t xml:space="preserve">Legally unavailable for ordinary operations</t>
  </si>
  <si>
    <t xml:space="preserve">Private Mandated System Funding</t>
  </si>
  <si>
    <t xml:space="preserve">Citizen HSA plus employer HSA match</t>
  </si>
  <si>
    <t xml:space="preserve">Consolidated Replacement Balance</t>
  </si>
  <si>
    <t xml:space="preserve">System-wide balance after operating costs and transfers</t>
  </si>
  <si>
    <t xml:space="preserve">Offshore Capital Export Duty - Central Budget Estimate</t>
  </si>
  <si>
    <t xml:space="preserve">10% duty on covered outbound capital above the rolling $1 million threshold. Bona fide U.S.-company foreign expansion is excluded and remains subject to the separate outsourcing rules where applicable.</t>
  </si>
  <si>
    <t xml:space="preserve">Base component</t>
  </si>
  <si>
    <t xml:space="preserve">2024 amount ($B)</t>
  </si>
  <si>
    <t xml:space="preserve">Covered share</t>
  </si>
  <si>
    <t xml:space="preserve">Behavioral share remaining</t>
  </si>
  <si>
    <t xml:space="preserve">Duty rate</t>
  </si>
  <si>
    <t xml:space="preserve">Booked revenue ($B)</t>
  </si>
  <si>
    <t xml:space="preserve">U.S. portfolio investment abroad</t>
  </si>
  <si>
    <t xml:space="preserve">U.S. deposits, loans, and other foreign investment</t>
  </si>
  <si>
    <t xml:space="preserve">Bona fide U.S.-company foreign expansion / direct investment</t>
  </si>
  <si>
    <t xml:space="preserve">Official reserve assets</t>
  </si>
  <si>
    <t xml:space="preserve">Central modeled calculation</t>
  </si>
  <si>
    <t xml:space="preserve">Budget-booked revenue</t>
  </si>
  <si>
    <t xml:space="preserve">Carveout</t>
  </si>
  <si>
    <t xml:space="preserve">Registered foreign operating expansion, acquisition, manufacturing, distribution, research, logistics, and working capital</t>
  </si>
  <si>
    <t xml:space="preserve">Not carved out</t>
  </si>
  <si>
    <t xml:space="preserve">Passive securities, offshore cash parking, personal foreign real estate, art, bullion, trusts, and disguised value transfers</t>
  </si>
  <si>
    <t xml:space="preserve">Commercial-payment exclusion</t>
  </si>
  <si>
    <t xml:space="preserve">Fair-market payments for completed goods and services remain excluded</t>
  </si>
  <si>
    <t xml:space="preserve">Withheld by banks, custodians, broker-dealers, processors, registries, and other controlled intermediaries</t>
  </si>
  <si>
    <t xml:space="preserve">Collection and recovery mechanism only. It creates no new statutory tax rate and moves payment to controlled intermediaries.</t>
  </si>
  <si>
    <t xml:space="preserve">Addressable unpaid liability ($B)</t>
  </si>
  <si>
    <t xml:space="preserve">Recovery rate</t>
  </si>
  <si>
    <t xml:space="preserve">Gross recovery ($B)</t>
  </si>
  <si>
    <t xml:space="preserve">Current-enforcement overlap</t>
  </si>
  <si>
    <t xml:space="preserve">Net recovery ($B)</t>
  </si>
  <si>
    <t xml:space="preserve">Budget-booked net recovery</t>
  </si>
  <si>
    <t xml:space="preserve">Automatic withholding/reporting channel</t>
  </si>
  <si>
    <t xml:space="preserve">Partnership and private-fund distributions</t>
  </si>
  <si>
    <t xml:space="preserve">Trust distributions and loans</t>
  </si>
  <si>
    <t xml:space="preserve">Offshore account transfers</t>
  </si>
  <si>
    <t xml:space="preserve">Large securities-backed loans</t>
  </si>
  <si>
    <t xml:space="preserve">Private-equity management allocations</t>
  </si>
  <si>
    <t xml:space="preserve">Custodied digital-asset transfers</t>
  </si>
  <si>
    <t xml:space="preserve">Art and collectible auction settlements</t>
  </si>
  <si>
    <t xml:space="preserve">Foreign-entity payments to American beneficial owners</t>
  </si>
  <si>
    <t xml:space="preserve">Closely held company redemptions and large related-party asset sales</t>
  </si>
  <si>
    <t xml:space="preserve">Sources</t>
  </si>
  <si>
    <t xml:space="preserve">https://www.irs.gov/statistics/irs-the-tax-gap ; https://www.gao.gov/products/gao-23-106020</t>
  </si>
  <si>
    <t xml:space="preserve">FEDERAL COST SAVINGS PROGRAM | MATURE-YEAR CENTRAL CASE</t>
  </si>
  <si>
    <t xml:space="preserve">Average recurring annual savings after implementation reaches ordinary capacity. Estimates use realistic central or midpoint assumptions, with overlap removed before budget booking.</t>
  </si>
  <si>
    <t xml:space="preserve">A. FEDERAL INTEGRITY AND EXECUTION REFORM</t>
  </si>
  <si>
    <t xml:space="preserve">Savings channel</t>
  </si>
  <si>
    <t xml:space="preserve">Annual savings ($B)</t>
  </si>
  <si>
    <t xml:space="preserve">Validation note</t>
  </si>
  <si>
    <t xml:space="preserve">Primary source</t>
  </si>
  <si>
    <t xml:space="preserve">Improper-payment prevention and correction</t>
  </si>
  <si>
    <t xml:space="preserve">Booked</t>
  </si>
  <si>
    <t xml:space="preserve">Midpoint of $60B-$85B modeled range</t>
  </si>
  <si>
    <t xml:space="preserve">FY2025 reported improper payments were about $186B; estimate does not treat all improper payments as recoverable fraud</t>
  </si>
  <si>
    <t xml:space="preserve">https://www.gao.gov/products/gao-26-108694</t>
  </si>
  <si>
    <t xml:space="preserve">Procurement fraud, defective pricing, and overbilling</t>
  </si>
  <si>
    <t xml:space="preserve">Midpoint of $8B-$15B modeled range</t>
  </si>
  <si>
    <t xml:space="preserve">Targets fraud, defective pricing, overbilling, and false claims rather than ordinary sourcing savings</t>
  </si>
  <si>
    <t xml:space="preserve">https://www.gao.gov/highrisk/dod-weapon-systems-acquisition</t>
  </si>
  <si>
    <t xml:space="preserve">Acquisition and federal IT execution reform</t>
  </si>
  <si>
    <t xml:space="preserve">Midpoint of $10B-$22B modeled range</t>
  </si>
  <si>
    <t xml:space="preserve">Modular delivery, stop-loss gates, milestone payment, and termination rights</t>
  </si>
  <si>
    <t xml:space="preserve">https://www.gao.gov/products/gao-25-107604</t>
  </si>
  <si>
    <t xml:space="preserve">Duplication, overlap, and administrative consolidation</t>
  </si>
  <si>
    <t xml:space="preserve">Midpoint of $10B-$20B modeled range</t>
  </si>
  <si>
    <t xml:space="preserve">Government-wide consolidation and shared services</t>
  </si>
  <si>
    <t xml:space="preserve">https://www.gao.gov/products/gao-26-108505</t>
  </si>
  <si>
    <t xml:space="preserve">Infrastructure estimating and delivery controls</t>
  </si>
  <si>
    <t xml:space="preserve">Midpoint of $4B-$10B modeled range</t>
  </si>
  <si>
    <t xml:space="preserve">Reference-class estimates, scope lock, independent review, and holdbacks</t>
  </si>
  <si>
    <t xml:space="preserve">https://www.gao.gov/highrisk</t>
  </si>
  <si>
    <t xml:space="preserve">Aid diversion, grant fraud, and partner controls</t>
  </si>
  <si>
    <t xml:space="preserve">Midpoint of $1B-$3B modeled range</t>
  </si>
  <si>
    <t xml:space="preserve">Traceability, tranche payments, implementer liability, and adversary controls</t>
  </si>
  <si>
    <t xml:space="preserve">https://oig.usaid.gov/</t>
  </si>
  <si>
    <t xml:space="preserve">Recoveries and asset forfeiture</t>
  </si>
  <si>
    <t xml:space="preserve">Midpoint of $3B-$7B modeled range</t>
  </si>
  <si>
    <t xml:space="preserve">Restitution, disgorgement, beneficial-owner tracing, and successor liability</t>
  </si>
  <si>
    <t xml:space="preserve">https://www.justice.gov/civil/false-claims-act</t>
  </si>
  <si>
    <t xml:space="preserve">Integrity systems, enforcement, and appeals cost</t>
  </si>
  <si>
    <t xml:space="preserve">Booked cost</t>
  </si>
  <si>
    <t xml:space="preserve">Conservative annual operating allowance</t>
  </si>
  <si>
    <t xml:space="preserve">Verification infrastructure, inspectors, investigators, cybersecurity, and appeals</t>
  </si>
  <si>
    <t xml:space="preserve">https://www.gao.gov/products/gao-26-108044</t>
  </si>
  <si>
    <t xml:space="preserve">NET BASE INTEGRITY SAVINGS</t>
  </si>
  <si>
    <t xml:space="preserve">BOOKED</t>
  </si>
  <si>
    <t xml:space="preserve">Existing central package</t>
  </si>
  <si>
    <t xml:space="preserve">B. PROCUREMENT, GRANTS, WORKFORCE, CREDIT, AND MILITARY REPAIR</t>
  </si>
  <si>
    <t xml:space="preserve">Policy channel</t>
  </si>
  <si>
    <t xml:space="preserve">Gross annual savings ($B)</t>
  </si>
  <si>
    <t xml:space="preserve">Called-out basis</t>
  </si>
  <si>
    <t xml:space="preserve">Unified procurement aggregation and reference pricing</t>
  </si>
  <si>
    <t xml:space="preserve">Gross policy value</t>
  </si>
  <si>
    <t xml:space="preserve">$300B addressable common procurement × 15% midpoint savings</t>
  </si>
  <si>
    <t xml:space="preserve">GAO cites leading commercial strategic-sourcing savings of 10%-20%; 15% is the midpoint</t>
  </si>
  <si>
    <t xml:space="preserve">https://www.gao.gov/assets/gao-21-40.pdf</t>
  </si>
  <si>
    <t xml:space="preserve">Grant delivery and pass-through control</t>
  </si>
  <si>
    <t xml:space="preserve">$500B addressable multilayer grant flow × 1%</t>
  </si>
  <si>
    <t xml:space="preserve">The 1% factor is a model assumption because no single government-wide GAO rate exists</t>
  </si>
  <si>
    <t xml:space="preserve">https://www.gao.gov/duplication-cost-savings</t>
  </si>
  <si>
    <t xml:space="preserve">Federal workforce and contractor structure reform</t>
  </si>
  <si>
    <t xml:space="preserve">Subsidy and federal credit performance</t>
  </si>
  <si>
    <t xml:space="preserve">Program-specific repricing, consolidation, termination, and recovery</t>
  </si>
  <si>
    <t xml:space="preserve">Conservative share of identified credit subsidy and fair-value exposure</t>
  </si>
  <si>
    <t xml:space="preserve">https://www.cbo.gov/budget-options</t>
  </si>
  <si>
    <t xml:space="preserve">Military right to repair, reproduce, and compete sustainment</t>
  </si>
  <si>
    <t xml:space="preserve">$150B addressable sustainment and repair activity × 6%</t>
  </si>
  <si>
    <t xml:space="preserve">GAO reports operating and support costs are about 70% of lifecycle cost; savings estimate applies only to an addressable subset</t>
  </si>
  <si>
    <t xml:space="preserve">https://www.gao.gov/products/gao-24-107378</t>
  </si>
  <si>
    <t xml:space="preserve">Implementation and technical-data acquisition cost</t>
  </si>
  <si>
    <t xml:space="preserve">Government data rights, catalog systems, contract conversion, and review</t>
  </si>
  <si>
    <t xml:space="preserve">Offsets near-term and recurring administration required to sustain the package</t>
  </si>
  <si>
    <t xml:space="preserve">GROSS NEW POLICY PACKAGE, NET OF DIRECT COST</t>
  </si>
  <si>
    <t xml:space="preserve">Policy value</t>
  </si>
  <si>
    <t xml:space="preserve">Sum of rows 18-23</t>
  </si>
  <si>
    <t xml:space="preserve">Less overlap with existing procurement and duplication savings</t>
  </si>
  <si>
    <t xml:space="preserve">Overlap removal</t>
  </si>
  <si>
    <t xml:space="preserve">Removes value already represented in the $11.5B procurement and $15B duplication lines</t>
  </si>
  <si>
    <t xml:space="preserve">Prevents double counting while preserving the stronger policy basis</t>
  </si>
  <si>
    <t xml:space="preserve">NET ADDITIONAL NONOVERLAPPING SAVINGS</t>
  </si>
  <si>
    <t xml:space="preserve">New savings beyond the existing $115B package</t>
  </si>
  <si>
    <t xml:space="preserve">TOTAL MATURE-YEAR COST SAVINGS</t>
  </si>
  <si>
    <t xml:space="preserve">ACTIVE HEADLINE</t>
  </si>
  <si>
    <t xml:space="preserve">Base integrity package plus nonoverlapping additions</t>
  </si>
  <si>
    <t xml:space="preserve">Full amount booked because the model represents an average mature year</t>
  </si>
  <si>
    <t xml:space="preserve">C. BUDGET EFFECT</t>
  </si>
  <si>
    <t xml:space="preserve">Budget measure</t>
  </si>
  <si>
    <t xml:space="preserve">Pre-savings consolidated replacement surplus</t>
  </si>
  <si>
    <t xml:space="preserve">Revised consolidated replacement surplus</t>
  </si>
  <si>
    <t xml:space="preserve">Revised ordinary General Government outlays</t>
  </si>
  <si>
    <t xml:space="preserve">Strict Treasury balance after Social Security support</t>
  </si>
  <si>
    <t xml:space="preserve">D. CONTINUING COST-REDUCTION RESEARCH</t>
  </si>
  <si>
    <t xml:space="preserve">Priority</t>
  </si>
  <si>
    <t xml:space="preserve">Target area</t>
  </si>
  <si>
    <t xml:space="preserve">Initial mechanism</t>
  </si>
  <si>
    <t xml:space="preserve">Booking posture</t>
  </si>
  <si>
    <t xml:space="preserve">Evidence needed</t>
  </si>
  <si>
    <t xml:space="preserve">Debt-service and cash management</t>
  </si>
  <si>
    <t xml:space="preserve">Improve cash forecasting, shorten idle cash cycles, and retire high-cost debt where advantageous</t>
  </si>
  <si>
    <t xml:space="preserve">Do not book until Treasury model is built</t>
  </si>
  <si>
    <t xml:space="preserve">Maturity structure, liquidity constraints, and refinancing effects</t>
  </si>
  <si>
    <t xml:space="preserve">Federal real property</t>
  </si>
  <si>
    <t xml:space="preserve">Dispose of unneeded buildings, consolidate leases, and stop maintaining obsolete stock</t>
  </si>
  <si>
    <t xml:space="preserve">Research target</t>
  </si>
  <si>
    <t xml:space="preserve">Property utilization, disposal proceeds, lease exit costs, and mission need</t>
  </si>
  <si>
    <t xml:space="preserve">https://www.gao.gov/products/gao-25-108028</t>
  </si>
  <si>
    <t xml:space="preserve">Government-wide IT portfolio</t>
  </si>
  <si>
    <t xml:space="preserve">Eliminate duplicate systems and terminate nonperforming modernization programs</t>
  </si>
  <si>
    <t xml:space="preserve">Portfolio inventory, lifecycle cost, overlap, and termination cost</t>
  </si>
  <si>
    <t xml:space="preserve">SOCIAL SECURITY FLOOR, RESIDENT CONTRIBUTOR SYSTEM, AND NATIONAL CONTINUITY CONTRIBUTION | YEAR 0, YEAR 4, YEAR 10</t>
  </si>
  <si>
    <t xml:space="preserve">Family and broader labor-growth effects remain excluded. Social Security is funded through citizen and employer contributions, Resident Contributor receipts, NLA profit, trust income, noncitizen benefit exclusions, and the National Continuity Contribution. NHDC is fully independent.</t>
  </si>
  <si>
    <t xml:space="preserve">MODEL ASSUMPTIONS</t>
  </si>
  <si>
    <t xml:space="preserve">Unit / treatment</t>
  </si>
  <si>
    <t xml:space="preserve">Source / basis</t>
  </si>
  <si>
    <t xml:space="preserve">Adopted policy floor</t>
  </si>
  <si>
    <t xml:space="preserve">Central blended trust return</t>
  </si>
  <si>
    <t xml:space="preserve">Nominal model yield</t>
  </si>
  <si>
    <t xml:space="preserve">50% CWF index / 50% diversified sleeve</t>
  </si>
  <si>
    <t xml:space="preserve">Real growth in citizen and employer contribution bases</t>
  </si>
  <si>
    <t xml:space="preserve">Annual real growth</t>
  </si>
  <si>
    <t xml:space="preserve">Central projection assumption</t>
  </si>
  <si>
    <t xml:space="preserve">OASDI cost-rate ratio, Year 4 vs Year 0</t>
  </si>
  <si>
    <t xml:space="preserve">Ratio</t>
  </si>
  <si>
    <t xml:space="preserve">2026 Trustees intermediate cost-rate path</t>
  </si>
  <si>
    <t xml:space="preserve">OASDI cost-rate ratio, Year 10 vs Year 0</t>
  </si>
  <si>
    <t xml:space="preserve">$B, real</t>
  </si>
  <si>
    <t xml:space="preserve">Deep Study v28</t>
  </si>
  <si>
    <t xml:space="preserve">Healthcare annual balance before waterfall</t>
  </si>
  <si>
    <t xml:space="preserve">Additional studied controls</t>
  </si>
  <si>
    <t xml:space="preserve">Social Security payment accuracy saving</t>
  </si>
  <si>
    <t xml:space="preserve">Incremental recoverable improper-payment reduction</t>
  </si>
  <si>
    <t xml:space="preserve">Healthcare surplus available above reserve</t>
  </si>
  <si>
    <t xml:space="preserve">A. ADOPTED FUNDING WATERFALL</t>
  </si>
  <si>
    <t xml:space="preserve">Formula basis</t>
  </si>
  <si>
    <t xml:space="preserve">Protected SS trust corpus</t>
  </si>
  <si>
    <t xml:space="preserve">Treasury prevents any fall below floor</t>
  </si>
  <si>
    <t xml:space="preserve">Constant statutory floor</t>
  </si>
  <si>
    <t xml:space="preserve">Citizen + employer contributions + NLA profit</t>
  </si>
  <si>
    <t xml:space="preserve">Dedicated non-trust funding</t>
  </si>
  <si>
    <t xml:space="preserve">Contribution bases grow 1.2%; NLA follows startup, full-term, and maturity cases</t>
  </si>
  <si>
    <t xml:space="preserve">Trust investment income</t>
  </si>
  <si>
    <t xml:space="preserve">Dedicated investment income</t>
  </si>
  <si>
    <t xml:space="preserve">$2.7T × 7.15%</t>
  </si>
  <si>
    <t xml:space="preserve">Total SS funding before transfers</t>
  </si>
  <si>
    <t xml:space="preserve">Non-trust + trust income</t>
  </si>
  <si>
    <t xml:space="preserve">Net OASDI obligation after payment-accuracy saving</t>
  </si>
  <si>
    <t xml:space="preserve">Gross scheduled cost less $6B dedicated payment-accuracy saving</t>
  </si>
  <si>
    <t xml:space="preserve">Year 0: $1.485T gross less $6B = $1.479T; later years grow the gross cost path, then deduct $6B</t>
  </si>
  <si>
    <t xml:space="preserve">SS gap before NCC</t>
  </si>
  <si>
    <t xml:space="preserve">First claim on National Continuity Contribution</t>
  </si>
  <si>
    <t xml:space="preserve">Spending less dedicated funding, RCN effects, benefit savings, and NLA international earnings</t>
  </si>
  <si>
    <t xml:space="preserve">Healthcare balance before independent waterfall</t>
  </si>
  <si>
    <t xml:space="preserve">Annual healthcare surplus</t>
  </si>
  <si>
    <t xml:space="preserve">Held constant in real terms</t>
  </si>
  <si>
    <t xml:space="preserve">Healthcare reserve retained</t>
  </si>
  <si>
    <t xml:space="preserve">Healthcare excess available</t>
  </si>
  <si>
    <t xml:space="preserve">Transferable only after reserve floor</t>
  </si>
  <si>
    <t xml:space="preserve">Balance less reserve</t>
  </si>
  <si>
    <t xml:space="preserve">First priority from NCC</t>
  </si>
  <si>
    <t xml:space="preserve">Lesser of SS gap and gross NCC revenue</t>
  </si>
  <si>
    <t xml:space="preserve">Backstop needed to protect $2.7T trust floor</t>
  </si>
  <si>
    <t xml:space="preserve">Remaining SS gap after healthcare transfer</t>
  </si>
  <si>
    <t xml:space="preserve">Balanced after transfers</t>
  </si>
  <si>
    <t xml:space="preserve">Funding plus transfers less spending</t>
  </si>
  <si>
    <t xml:space="preserve">NIRF residual from NCC</t>
  </si>
  <si>
    <t xml:space="preserve">Available after SS is balanced</t>
  </si>
  <si>
    <t xml:space="preserve">Healthcare excess less SS transfer</t>
  </si>
  <si>
    <t xml:space="preserve">50% of residual</t>
  </si>
  <si>
    <t xml:space="preserve">Equal split</t>
  </si>
  <si>
    <t xml:space="preserve">Strict Treasury balance after SS floor support</t>
  </si>
  <si>
    <t xml:space="preserve">General balance less Treasury backstop</t>
  </si>
  <si>
    <t xml:space="preserve">Internal healthcare transfer excluded</t>
  </si>
  <si>
    <t xml:space="preserve">Consolidated federal balance</t>
  </si>
  <si>
    <t xml:space="preserve">All public reserves and fund allocations counted once</t>
  </si>
  <si>
    <t xml:space="preserve">Fully inclusive budget path with gross NCC counted once</t>
  </si>
  <si>
    <t xml:space="preserve">B. WATERFALL PRIORITY</t>
  </si>
  <si>
    <t xml:space="preserve">Destination</t>
  </si>
  <si>
    <t xml:space="preserve">Rule</t>
  </si>
  <si>
    <t xml:space="preserve">Normal-year treatment</t>
  </si>
  <si>
    <t xml:space="preserve">Emergency treatment</t>
  </si>
  <si>
    <t xml:space="preserve">Fiscal effect</t>
  </si>
  <si>
    <t xml:space="preserve">Healthcare reserve</t>
  </si>
  <si>
    <t xml:space="preserve">Retain $120B before any transfer</t>
  </si>
  <si>
    <t xml:space="preserve">Protected reserve</t>
  </si>
  <si>
    <t xml:space="preserve">Pandemic/disaster costs may retain or use all healthcare surplus</t>
  </si>
  <si>
    <t xml:space="preserve">Public reserve</t>
  </si>
  <si>
    <t xml:space="preserve">Use healthcare surplus above reserve to close annual SS gap</t>
  </si>
  <si>
    <t xml:space="preserve">First transfer priority</t>
  </si>
  <si>
    <t xml:space="preserve">Emergency healthcare needs temporarily supersede transfer</t>
  </si>
  <si>
    <t xml:space="preserve">Internal transfer</t>
  </si>
  <si>
    <t xml:space="preserve">NHDC and public-health R&amp;D / capacity</t>
  </si>
  <si>
    <t xml:space="preserve">Fund through approved healthcare operating budgets and retained operating margins</t>
  </si>
  <si>
    <t xml:space="preserve">Programmatic appropriation before distributable profit</t>
  </si>
  <si>
    <t xml:space="preserve">Pandemic/disaster response receives priority</t>
  </si>
  <si>
    <t xml:space="preserve">Healthcare expenditure, separately costed</t>
  </si>
  <si>
    <t xml:space="preserve">Policy rule</t>
  </si>
  <si>
    <t xml:space="preserve">NIRF and CWF</t>
  </si>
  <si>
    <t xml:space="preserve">Split distributable residual 50/50</t>
  </si>
  <si>
    <t xml:space="preserve">Only after SS balance and approved healthcare needs</t>
  </si>
  <si>
    <t xml:space="preserve">May be suspended for emergency response</t>
  </si>
  <si>
    <t xml:space="preserve">Public capital allocation</t>
  </si>
  <si>
    <t xml:space="preserve">General discretionary use</t>
  </si>
  <si>
    <t xml:space="preserve">Available only when SS and both national funds meet statutory health tests</t>
  </si>
  <si>
    <t xml:space="preserve">Last priority</t>
  </si>
  <si>
    <t xml:space="preserve">Emergency appropriations may override</t>
  </si>
  <si>
    <t xml:space="preserve">Treasury discretion</t>
  </si>
  <si>
    <t xml:space="preserve">FINDINGS</t>
  </si>
  <si>
    <t xml:space="preserve">Finding</t>
  </si>
  <si>
    <t xml:space="preserve">Healthcare excess closes the entire Social Security gap. Treasury support is not required. $84.589B remains for a 50/50 NIRF/CWF split.</t>
  </si>
  <si>
    <t xml:space="preserve">Healthcare excess closes the entire Social Security gap. Treasury support is not required. $31.272B remains for a 50/50 NIRF/CWF split.</t>
  </si>
  <si>
    <t xml:space="preserve">Healthcare excess covers most of the Social Security gap. Treasury supplies the remaining $12.158B to preserve the $2.7T trust floor.</t>
  </si>
  <si>
    <t xml:space="preserve">CITIZEN-ONLY SOCIAL SECURITY | NONCITIZEN FISCAL MODEL</t>
  </si>
  <si>
    <t xml:space="preserve">Baseline citizen and labor-force growth remains unchanged. This module isolates the new 7% employee / 7% employer noncitizen contribution and the elimination of noncitizen Social Security benefits.</t>
  </si>
  <si>
    <t xml:space="preserve">A. CONTRIBUTION BASE</t>
  </si>
  <si>
    <t xml:space="preserve">Central value</t>
  </si>
  <si>
    <t xml:space="preserve">Unit / formula</t>
  </si>
  <si>
    <t xml:space="preserve">Validation</t>
  </si>
  <si>
    <t xml:space="preserve">Employed noncitizens</t>
  </si>
  <si>
    <t xml:space="preserve">Millions</t>
  </si>
  <si>
    <t xml:space="preserve">2024 employed noncitizen population</t>
  </si>
  <si>
    <t xml:space="preserve">ACS-derived count</t>
  </si>
  <si>
    <t xml:space="preserve">https://www.migrationpolicy.org/data/state-profiles/state/workforce/US</t>
  </si>
  <si>
    <t xml:space="preserve">Modeled average annual liquid earnings</t>
  </si>
  <si>
    <t xml:space="preserve">$ per worker</t>
  </si>
  <si>
    <t xml:space="preserve">Central average after allowing for part-time work; BLS full-time foreign-born median was $52,052</t>
  </si>
  <si>
    <t xml:space="preserve">Model assumption, explicitly below full-time median</t>
  </si>
  <si>
    <t xml:space="preserve">https://www.bls.gov/news.release/forbrn.t05.htm</t>
  </si>
  <si>
    <t xml:space="preserve">Wage-and-liquid-income base</t>
  </si>
  <si>
    <t xml:space="preserve">Workers × modeled average earnings</t>
  </si>
  <si>
    <t xml:space="preserve">Employee-side contribution base</t>
  </si>
  <si>
    <t xml:space="preserve">Employer-covered share</t>
  </si>
  <si>
    <t xml:space="preserve">Share</t>
  </si>
  <si>
    <t xml:space="preserve">Private wage/salary plus government-worker share</t>
  </si>
  <si>
    <t xml:space="preserve">Excludes self-employed and unpaid family workers from employer match</t>
  </si>
  <si>
    <t xml:space="preserve">Employer compensation base</t>
  </si>
  <si>
    <t xml:space="preserve">Income base × employer-covered share</t>
  </si>
  <si>
    <t xml:space="preserve">Employer-side contribution base</t>
  </si>
  <si>
    <t xml:space="preserve">Citizen baseline employee rate</t>
  </si>
  <si>
    <t xml:space="preserve">Existing Deep Study treatment</t>
  </si>
  <si>
    <t xml:space="preserve">Citizen baseline employer rate</t>
  </si>
  <si>
    <t xml:space="preserve">Noncitizen employee rate</t>
  </si>
  <si>
    <t xml:space="preserve">Policy Book v86.8</t>
  </si>
  <si>
    <t xml:space="preserve">Noncitizen employer rate</t>
  </si>
  <si>
    <t xml:space="preserve">Baseline 3% + 3% contribution</t>
  </si>
  <si>
    <t xml:space="preserve">Existing amount already inside the model</t>
  </si>
  <si>
    <t xml:space="preserve">New 7% + 7% contribution</t>
  </si>
  <si>
    <t xml:space="preserve">Total contribution under adopted policy</t>
  </si>
  <si>
    <t xml:space="preserve">Incremental contribution revenue</t>
  </si>
  <si>
    <t xml:space="preserve">New contribution less baseline contribution</t>
  </si>
  <si>
    <t xml:space="preserve">Added to OASDI trust funding</t>
  </si>
  <si>
    <t xml:space="preserve">B. BENEFIT SAVINGS</t>
  </si>
  <si>
    <t xml:space="preserve">Benefit category</t>
  </si>
  <si>
    <t xml:space="preserve">Confidence</t>
  </si>
  <si>
    <t xml:space="preserve">OASDI benefits to noncitizens</t>
  </si>
  <si>
    <t xml:space="preserve">Central modeled saving</t>
  </si>
  <si>
    <t xml:space="preserve">Modeled 1.2M affected beneficiaries at $1,250 average monthly benefit</t>
  </si>
  <si>
    <t xml:space="preserve">Medium-low: SSA does not publish a complete current citizenship cross-tab for all OASDI beneficiaries</t>
  </si>
  <si>
    <t xml:space="preserve">https://www.ssa.gov/faqs/en/questions/KA-02447.html</t>
  </si>
  <si>
    <t xml:space="preserve">Federal SSI paid to noncitizens</t>
  </si>
  <si>
    <t xml:space="preserve">Verified current-flow saving</t>
  </si>
  <si>
    <t xml:space="preserve">319,391 recipients × $579.59 average monthly payment × 12</t>
  </si>
  <si>
    <t xml:space="preserve">High for December-flow annualization</t>
  </si>
  <si>
    <t xml:space="preserve">https://www.ssa.gov/policy/docs/statcomps/ssi_asr/2024/sect02.html</t>
  </si>
  <si>
    <t xml:space="preserve">Noncitizen SSI recipients receiving Social Security income</t>
  </si>
  <si>
    <t xml:space="preserve">Recipients</t>
  </si>
  <si>
    <t xml:space="preserve">Subset confirming material overlap between SSI and OASDI</t>
  </si>
  <si>
    <t xml:space="preserve">Administrative count</t>
  </si>
  <si>
    <t xml:space="preserve">https://www.ssa.gov/policy/docs/statcomps/ssi_asr/2024/sect05.html</t>
  </si>
  <si>
    <t xml:space="preserve">State Social Security supplements</t>
  </si>
  <si>
    <t xml:space="preserve">$B booked</t>
  </si>
  <si>
    <t xml:space="preserve">Not booked without a complete state-by-state expenditure base</t>
  </si>
  <si>
    <t xml:space="preserve">Potential additional state saving</t>
  </si>
  <si>
    <t xml:space="preserve">OASDI ledger improvement</t>
  </si>
  <si>
    <t xml:space="preserve">Incremental contributions + OASDI benefit savings</t>
  </si>
  <si>
    <t xml:space="preserve">Used in Social Security ledger</t>
  </si>
  <si>
    <t xml:space="preserve">Government-wide improvement including SSI</t>
  </si>
  <si>
    <t xml:space="preserve">OASDI improvement + federal SSI saving</t>
  </si>
  <si>
    <t xml:space="preserve">SSI remains a General Government saving</t>
  </si>
  <si>
    <t xml:space="preserve">C. YEAR 0 / YEAR 4 / YEAR 10 EFFECT</t>
  </si>
  <si>
    <t xml:space="preserve">Projection treatment</t>
  </si>
  <si>
    <t xml:space="preserve">Incremental noncitizen contributions</t>
  </si>
  <si>
    <t xml:space="preserve">OASDI benefit savings</t>
  </si>
  <si>
    <t xml:space="preserve">Federal SSI savings</t>
  </si>
  <si>
    <t xml:space="preserve">Total government-wide improvement</t>
  </si>
  <si>
    <t xml:space="preserve">SS gap before healthcare waterfall</t>
  </si>
  <si>
    <t xml:space="preserve">Residual healthcare profit after SS</t>
  </si>
  <si>
    <t xml:space="preserve">NIRF allocation</t>
  </si>
  <si>
    <t xml:space="preserve">Citizen Wealth Fund allocation</t>
  </si>
  <si>
    <t xml:space="preserve">IMPLEMENTATION REQUIREMENT</t>
  </si>
  <si>
    <t xml:space="preserve">Because the policy bars SSNs for noncitizens while still collecting employment contributions, the government must issue a separate Federal Work and Tax Number linked to immigration status, payroll reporting, withholding, and employer matching. Without that identifier, the revenue mechanism cannot operate.</t>
  </si>
  <si>
    <t xml:space="preserve">NATIONAL CONTINUITY CONTRIBUTION | ENTERPRISE-VALUATION LEVY</t>
  </si>
  <si>
    <t xml:space="preserve">Annual 0.73% levy on the assessed enterprise value of every public or private company valued above $1 million. Social Security receives the amount needed for annual balance; remaining proceeds capitalize the NIRF.</t>
  </si>
  <si>
    <t xml:space="preserve">A. CENTRAL REVENUE MODEL</t>
  </si>
  <si>
    <t xml:space="preserve">Formula / treatment</t>
  </si>
  <si>
    <t xml:space="preserve">Validation posture</t>
  </si>
  <si>
    <t xml:space="preserve">Covered assessed enterprise value</t>
  </si>
  <si>
    <t xml:space="preserve">Central bookable base for companies above $1M</t>
  </si>
  <si>
    <t xml:space="preserve">Studied central estimate from Federal Reserve business/equity balance sheets, adjusted for threshold and overlap</t>
  </si>
  <si>
    <t xml:space="preserve">https://www.federalreserve.gov/releases/z1/preview/html/b103.htm ; https://www.federalreserve.gov/releases/z1/preview/html/l224.htm</t>
  </si>
  <si>
    <t xml:space="preserve">Studied estimate</t>
  </si>
  <si>
    <t xml:space="preserve">Annual contribution rate</t>
  </si>
  <si>
    <t xml:space="preserve">Paid at annual federal business registration</t>
  </si>
  <si>
    <t xml:space="preserve">Policy Book / adopted parameter</t>
  </si>
  <si>
    <t xml:space="preserve">Gross annual NCC revenue</t>
  </si>
  <si>
    <t xml:space="preserve">Covered valuation × 0.73%</t>
  </si>
  <si>
    <t xml:space="preserve">$7.3B per $1T of covered value</t>
  </si>
  <si>
    <t xml:space="preserve">Registration threshold</t>
  </si>
  <si>
    <t xml:space="preserve">$M enterprise value</t>
  </si>
  <si>
    <t xml:space="preserve">Companies at or below threshold excluded</t>
  </si>
  <si>
    <t xml:space="preserve">Common-control aggregation prevents fragmentation</t>
  </si>
  <si>
    <t xml:space="preserve">Annual real valuation growth</t>
  </si>
  <si>
    <t xml:space="preserve">Held equal to existing real contribution-base growth</t>
  </si>
  <si>
    <t xml:space="preserve">Modeled</t>
  </si>
  <si>
    <t xml:space="preserve">B. VALUATION-BASE SENSITIVITY</t>
  </si>
  <si>
    <t xml:space="preserve">Covered enterprise value ($T)</t>
  </si>
  <si>
    <t xml:space="preserve">Revenue at 0.73% ($B)</t>
  </si>
  <si>
    <t xml:space="preserve">Year 0 SS use ($B)</t>
  </si>
  <si>
    <t xml:space="preserve">Year 0 NIRF residual ($B)</t>
  </si>
  <si>
    <t xml:space="preserve">Lower assessable-base case</t>
  </si>
  <si>
    <t xml:space="preserve">Moderate assessable-base case</t>
  </si>
  <si>
    <t xml:space="preserve">Central bookable case</t>
  </si>
  <si>
    <t xml:space="preserve">Broad coverage case</t>
  </si>
  <si>
    <t xml:space="preserve">High valuation case</t>
  </si>
  <si>
    <t xml:space="preserve">C. YEAR 0 / YEAR 4 / YEAR 10 WATERFALL</t>
  </si>
  <si>
    <t xml:space="preserve">Central base grows 1.2% real annually</t>
  </si>
  <si>
    <t xml:space="preserve">Citizen-only SS result before healthcare transfer</t>
  </si>
  <si>
    <t xml:space="preserve">Lesser of NCC revenue and SS gap</t>
  </si>
  <si>
    <t xml:space="preserve">Dedicated balance after NCC</t>
  </si>
  <si>
    <t xml:space="preserve">NCC revenue remaining after SS breakeven</t>
  </si>
  <si>
    <t xml:space="preserve">Only if NCC revenue is insufficient</t>
  </si>
  <si>
    <t xml:space="preserve">NHDC / healthcare transfer to SS</t>
  </si>
  <si>
    <t xml:space="preserve">NHDC fully untied from Social Security</t>
  </si>
  <si>
    <t xml:space="preserve">Healthcare surplus after reserve</t>
  </si>
  <si>
    <t xml:space="preserve">Independent healthcare waterfall</t>
  </si>
  <si>
    <t xml:space="preserve">Healthcare R&amp;D / capacity allocation</t>
  </si>
  <si>
    <t xml:space="preserve">Placeholder until explicit annual appropriation is costed</t>
  </si>
  <si>
    <t xml:space="preserve">Unbooked</t>
  </si>
  <si>
    <t xml:space="preserve">Strict Treasury balance</t>
  </si>
  <si>
    <t xml:space="preserve">General balance + SSI saving − residual Treasury backstop</t>
  </si>
  <si>
    <t xml:space="preserve">Fully inclusive budget path with the NLA ramp</t>
  </si>
  <si>
    <t xml:space="preserve">D. POLICY CONTROLS</t>
  </si>
  <si>
    <t xml:space="preserve">Control</t>
  </si>
  <si>
    <t xml:space="preserve">Public-company valuation</t>
  </si>
  <si>
    <t xml:space="preserve">Annual average market capitalization plus debt less unrestricted cash</t>
  </si>
  <si>
    <t xml:space="preserve">Reduces registration-date manipulation</t>
  </si>
  <si>
    <t xml:space="preserve">Required</t>
  </si>
  <si>
    <t xml:space="preserve">Private-company valuation</t>
  </si>
  <si>
    <t xml:space="preserve">Recent arm's-length valuation, audited financing value, sector multiple, adjusted net assets, then federal appraisal</t>
  </si>
  <si>
    <t xml:space="preserve">Creates a repeatable hierarchy</t>
  </si>
  <si>
    <t xml:space="preserve">Common-control aggregation</t>
  </si>
  <si>
    <t xml:space="preserve">Affiliated entities valued as one economic enterprise</t>
  </si>
  <si>
    <t xml:space="preserve">Prevents artificial division below $1M</t>
  </si>
  <si>
    <t xml:space="preserve">Liquidity protection</t>
  </si>
  <si>
    <t xml:space="preserve">Quarterly installments or secured deferral for qualified private firms</t>
  </si>
  <si>
    <t xml:space="preserve">Prevents forced liquidation without erasing liability</t>
  </si>
  <si>
    <t xml:space="preserve">Revenue routing</t>
  </si>
  <si>
    <t xml:space="preserve">Social Security to annual breakeven, then NIRF</t>
  </si>
  <si>
    <t xml:space="preserve">Unties NHDC from Social Security</t>
  </si>
  <si>
    <t xml:space="preserve">REVENUE RESEARCH INITIATIVE | VALIDATION REGISTER</t>
  </si>
  <si>
    <t xml:space="preserve">All revenue mechanisms were reviewed against Policy Book v89. LVT is intentionally carried forward unchanged and excluded from this validation initiative.</t>
  </si>
  <si>
    <t xml:space="preserve">Method / input</t>
  </si>
  <si>
    <t xml:space="preserve">Prior posture</t>
  </si>
  <si>
    <t xml:space="preserve">Research basis</t>
  </si>
  <si>
    <t xml:space="preserve">Studied central estimate ($B)</t>
  </si>
  <si>
    <t xml:space="preserve">Low ($B)</t>
  </si>
  <si>
    <t xml:space="preserve">High ($B)</t>
  </si>
  <si>
    <t xml:space="preserve">Primary references</t>
  </si>
  <si>
    <t xml:space="preserve">National Continuity covered enterprise value</t>
  </si>
  <si>
    <t xml:space="preserve">Modeled $23T</t>
  </si>
  <si>
    <t xml:space="preserve">Federal Reserve Financial Accounts corporate equity, business debt, cash, and noncorporate business equity; adjusted for &gt;$1M threshold and double counting</t>
  </si>
  <si>
    <t xml:space="preserve">0.73% gross dedicated receipt; SS first, NIRF residual</t>
  </si>
  <si>
    <t xml:space="preserve">Medium</t>
  </si>
  <si>
    <t xml:space="preserve">Resident Contributor employment and earnings base</t>
  </si>
  <si>
    <t xml:space="preserve">Modeled from ACS/MPI and BLS</t>
  </si>
  <si>
    <t xml:space="preserve">ACS citizenship/workforce framework plus BLS foreign-born earnings; central remains 14.866M workers and $46,000 average liquid earnings</t>
  </si>
  <si>
    <t xml:space="preserve">7% employee; employer 7% on employer-covered compensation</t>
  </si>
  <si>
    <t xml:space="preserve">https://www.census.gov/topics/population/foreign-born/data/tables/acs-tables.html ; https://www.bls.gov/news.release/forbrn.t05.htm</t>
  </si>
  <si>
    <t xml:space="preserve">Noncitizen OASDI benefit exclusion</t>
  </si>
  <si>
    <t xml:space="preserve">Modeled $18B</t>
  </si>
  <si>
    <t xml:space="preserve">SSA publishes OASDI totals and totalization data but no complete current citizenship cross-tab; bracketed using 0.9M-1.5M recipients and $1,100-$1,350 monthly benefit</t>
  </si>
  <si>
    <t xml:space="preserve">Dedicated Social Security saving</t>
  </si>
  <si>
    <t xml:space="preserve">Medium-low</t>
  </si>
  <si>
    <t xml:space="preserve">https://www.ssa.gov/policy/docs/statcomps/supplement/2024/ ; https://www.ssa.gov/policy/about/oasdi-reference.html</t>
  </si>
  <si>
    <t xml:space="preserve">Federal SSI noncitizen exclusion</t>
  </si>
  <si>
    <t xml:space="preserve">Verified annualized flow</t>
  </si>
  <si>
    <t xml:space="preserve">SSA SSI Annual Statistical Report noncitizen recipient and payment tables</t>
  </si>
  <si>
    <t xml:space="preserve">General Government saving</t>
  </si>
  <si>
    <t xml:space="preserve">https://www.ssa.gov/policy/docs/statcomps/ssi_asr/2024/</t>
  </si>
  <si>
    <t xml:space="preserve">Unbooked; rate unspecified</t>
  </si>
  <si>
    <t xml:space="preserve">2024 U.S. energy-related CO2 emissions; studied central rate $25/metric ton with 10% mature behavioral erosion</t>
  </si>
  <si>
    <t xml:space="preserve">https://www.eia.gov/environment/emissions/carbon/</t>
  </si>
  <si>
    <t xml:space="preserve">Booked $26.5B</t>
  </si>
  <si>
    <t xml:space="preserve">5% statutory rate applied to alcohol, tobacco, gambling, and marijuana consumer-sales study; refreshed central base $530B</t>
  </si>
  <si>
    <t xml:space="preserve">https://apps.bea.gov/iTable/?reqid=19&amp;step=2 ; https://www.census.gov/programs-surveys/economic-census.html</t>
  </si>
  <si>
    <t xml:space="preserve">Spectrum stewardship auctions and rent</t>
  </si>
  <si>
    <t xml:space="preserve">FCC/NTIA historical auction proceeds, plus prospective annual rent, transfer, and vacancy fees; annualized across auction cycles</t>
  </si>
  <si>
    <t xml:space="preserve">$6B NIRF capital, $5B Treasury, $1B administration</t>
  </si>
  <si>
    <t xml:space="preserve">https://www.fcc.gov/auctions-summary ; https://www.ntia.gov/report/2024/2023-commercial-spectrum-enhancement-act-csea-report/part-i-1710-1755-mhz-band-aws-1</t>
  </si>
  <si>
    <t xml:space="preserve">Existing federal lab licensing and royalty income scaled through unified marketplace and commercialization auctions</t>
  </si>
  <si>
    <t xml:space="preserve">$0.4B net General Treasury after $0.1B administration</t>
  </si>
  <si>
    <t xml:space="preserve">https://www.energy.gov/sites/prod/files/2016/06/f33/Technology%20Transfer%20Report%20to%20Congress%20FY14.pdf ; https://www.energy.gov/sites/default/files/2024-05/TTWG%20Licensing%20Guide%20and%20Sample%20License%202024.pdf</t>
  </si>
  <si>
    <t xml:space="preserve">Paid reliability, API, processing, redistribution, and international institutional tiers layered over free public data</t>
  </si>
  <si>
    <t xml:space="preserve">$2B net General Treasury after $1B service cost</t>
  </si>
  <si>
    <t xml:space="preserve">https://www.bea.gov/data ; https://www.census.gov/data.html ; https://www.noaa.gov/information-technology/open-data-dissemination</t>
  </si>
  <si>
    <t xml:space="preserve">Strategic industrial campus leases and services</t>
  </si>
  <si>
    <t xml:space="preserve">Ground leases, utilities, testing subscriptions, security, certification, and profit royalties at mature federally prepared campuses</t>
  </si>
  <si>
    <t xml:space="preserve">$10B net General Treasury after $5B campus operations</t>
  </si>
  <si>
    <t xml:space="preserve">https://www.gao.gov/products/gao-24-106084 ; https://www.eda.gov/funding/programs/tech-hubs</t>
  </si>
  <si>
    <t xml:space="preserve">National Pipeline Corridor capacity auctions</t>
  </si>
  <si>
    <t xml:space="preserve">BLM right-of-way rents and competitive capacity allocation expanded to a national corridor system</t>
  </si>
  <si>
    <t xml:space="preserve">$3.5B net General Treasury after $0.5B administration</t>
  </si>
  <si>
    <t xml:space="preserve">https://www.blm.gov/sites/blm.gov/files/ObtainingaROWPamphlet.pdf</t>
  </si>
  <si>
    <t xml:space="preserve">NHDC international product and manufacturing licenses</t>
  </si>
  <si>
    <t xml:space="preserve">Partly proxied by exports</t>
  </si>
  <si>
    <t xml:space="preserve">Royalty and contract-manufacturing licenses separated from physical export margin</t>
  </si>
  <si>
    <t xml:space="preserve">Dedicated healthcare commercial earnings</t>
  </si>
  <si>
    <t xml:space="preserve">https://www.cms.gov/data-research/statistics-trends-and-reports/national-health-expenditure-data ; https://www.fda.gov/drugs/generic-drugs/office-generic-drugs-2024-annual-report</t>
  </si>
  <si>
    <t xml:space="preserve">NLA institutional servicing and international lending</t>
  </si>
  <si>
    <t xml:space="preserve">Unbooked separately</t>
  </si>
  <si>
    <t xml:space="preserve">Public servicing fees and carefully underwritten allied/institutional lending, separate from domestic NLA portfolio</t>
  </si>
  <si>
    <t xml:space="preserve">Dedicated Social Security public-enterprise earnings</t>
  </si>
  <si>
    <t xml:space="preserve">https://www.federalreserve.gov/releases/g19/current/ ; https://studentaid.gov/data-center/student/portfolio</t>
  </si>
  <si>
    <t xml:space="preserve">National commercial space infrastructure revenue</t>
  </si>
  <si>
    <t xml:space="preserve">Orbital data, communications, navigation augmentation, launch-site, tracking, and infrastructure service charges</t>
  </si>
  <si>
    <t xml:space="preserve">$3B net General Treasury after $2B operating cost</t>
  </si>
  <si>
    <t xml:space="preserve">Low-medium</t>
  </si>
  <si>
    <t xml:space="preserve">https://www.faa.gov/space ; https://www.nasa.gov/partnerships/</t>
  </si>
  <si>
    <t xml:space="preserve">Penalty receipts are deterrence-driven and unstable; small central amount included rather than relied upon</t>
  </si>
  <si>
    <t xml:space="preserve">https://www.uspto.gov/ip-policy/patent-policy</t>
  </si>
  <si>
    <t xml:space="preserve">Social Security payment accuracy</t>
  </si>
  <si>
    <t xml:space="preserve">SSA improper-payment and payment-integrity initiatives; only incremental recoverable share booked</t>
  </si>
  <si>
    <t xml:space="preserve">Dedicated OASDI savings, not revenue</t>
  </si>
  <si>
    <t xml:space="preserve">https://www.ssa.gov/finance/</t>
  </si>
  <si>
    <t xml:space="preserve">NIRF mature distributable investment return</t>
  </si>
  <si>
    <t xml:space="preserve">15-year phased capitalization plus NCC, spectrum, royalty, and surplus deposits; $7.5T studied mature corpus, 4% real return, 50% statutory transfer ceiling</t>
  </si>
  <si>
    <t xml:space="preserve">General Treasury investment income; principal protected</t>
  </si>
  <si>
    <t xml:space="preserve">https://www.federalreserve.gov/releases/z1/ ; https://www.gao.gov/sovereign-wealth-funds</t>
  </si>
  <si>
    <t xml:space="preserve">Original market screen</t>
  </si>
  <si>
    <t xml:space="preserve">Official retail and drug-spending bases with category eligibility and markup screens; remains original studied estimate</t>
  </si>
  <si>
    <t xml:space="preserve">https://www.census.gov/retail/index.html ; https://www.cms.gov/data-research/statistics-trends-and-reports/national-health-expenditure-data</t>
  </si>
  <si>
    <t xml:space="preserve">Proxy</t>
  </si>
  <si>
    <t xml:space="preserve">Related-party manufacturing imports remain the strongest public proxy until firm-level customs testing</t>
  </si>
  <si>
    <t xml:space="preserve">Studied financial-asset base</t>
  </si>
  <si>
    <t xml:space="preserve">Publicly priced covered assets studied; art, collectibles, and opaque offshore wrappers remain legally covered but excluded pending reporting</t>
  </si>
  <si>
    <t xml:space="preserve">Behavioral model</t>
  </si>
  <si>
    <t xml:space="preserve">BEA outbound portfolio, deposit, loan, and other-investment flows excluding direct investment; threshold and response applied</t>
  </si>
  <si>
    <t xml:space="preserve">https://www.bea.gov/data/intl-trade-investment/international-transactions</t>
  </si>
  <si>
    <t xml:space="preserve">High-Wealth compliance recovery</t>
  </si>
  <si>
    <t xml:space="preserve">Tax-gap recovery model</t>
  </si>
  <si>
    <t xml:space="preserve">IRS tax gap and GAO large-partnership enforcement evidence; overlap adjustment retained</t>
  </si>
  <si>
    <t xml:space="preserve">Model portfolio</t>
  </si>
  <si>
    <t xml:space="preserve">Outstanding mortgage, student, auto, and consumer-credit bases with explicit loss, servicing, capital, and reserve assumptions</t>
  </si>
  <si>
    <t xml:space="preserve">https://www.federalreserve.gov/releases/g19/current/ ; https://www.newyorkfed.org/microeconomics/hhdc</t>
  </si>
  <si>
    <t xml:space="preserve">NHDC export margin</t>
  </si>
  <si>
    <t xml:space="preserve">Scenario model</t>
  </si>
  <si>
    <t xml:space="preserve">International generic-drug and medical manufacturing demand; retains realistic optimistic central margin with separate licensing revenue</t>
  </si>
  <si>
    <t xml:space="preserve">https://www.fda.gov/drugs/generic-drugs ; https://www.trade.gov/healthcare-technologies-resource-guide</t>
  </si>
  <si>
    <t xml:space="preserve">Excluded by instruction</t>
  </si>
  <si>
    <t xml:space="preserve">No change made to base, rate, validation sheet, or booked revenue</t>
  </si>
  <si>
    <t xml:space="preserve">Carried unchanged</t>
  </si>
  <si>
    <t xml:space="preserve">Existing workbook</t>
  </si>
  <si>
    <t xml:space="preserve">ADDITIONAL POLICY-BOOK REVENUE | STUDIED CENTRAL ESTIMATES</t>
  </si>
  <si>
    <t xml:space="preserve">These lines were absent from the prior budget headline. Gross external receipts, operating costs, dedicated routing, and overlap controls are shown separately.</t>
  </si>
  <si>
    <t xml:space="preserve">Revenue method</t>
  </si>
  <si>
    <t xml:space="preserve">Gross receipt ($B)</t>
  </si>
  <si>
    <t xml:space="preserve">Direct operating cost ($B)</t>
  </si>
  <si>
    <t xml:space="preserve">Net fiscal contribution ($B)</t>
  </si>
  <si>
    <t xml:space="preserve">General Treasury ($B)</t>
  </si>
  <si>
    <t xml:space="preserve">Dedicated funds ($B)</t>
  </si>
  <si>
    <t xml:space="preserve">$25/t on 2024 energy CO2 with 10% mature erosion</t>
  </si>
  <si>
    <t xml:space="preserve">Spectrum stewardship</t>
  </si>
  <si>
    <t xml:space="preserve">Auction/rent cycle annualization; $6B NIRF capital</t>
  </si>
  <si>
    <t xml:space="preserve">https://www.fcc.gov/auctions-summary</t>
  </si>
  <si>
    <t xml:space="preserve">National lab patent marketplace</t>
  </si>
  <si>
    <t xml:space="preserve">Unified licenses, royalties, exclusivity auctions</t>
  </si>
  <si>
    <t xml:space="preserve">https://www.energy.gov/sites/prod/files/2016/06/f33/Technology%20Transfer%20Report%20to%20Congress%20FY14.pdf</t>
  </si>
  <si>
    <t xml:space="preserve">Premium reliability and enterprise service tiers</t>
  </si>
  <si>
    <t xml:space="preserve">https://www.census.gov/data.html</t>
  </si>
  <si>
    <t xml:space="preserve">Industrial campus leases/services</t>
  </si>
  <si>
    <t xml:space="preserve">Ground leases, utilities, testing, security, royalties</t>
  </si>
  <si>
    <t xml:space="preserve">https://www.eda.gov/funding/programs/tech-hubs</t>
  </si>
  <si>
    <t xml:space="preserve">Capacity auctions and ROW rents</t>
  </si>
  <si>
    <t xml:space="preserve">Separate from physical export margin</t>
  </si>
  <si>
    <t xml:space="preserve">https://www.fda.gov/drugs/generic-drugs</t>
  </si>
  <si>
    <t xml:space="preserve">Net distributable public lending/servicing earnings</t>
  </si>
  <si>
    <t xml:space="preserve">https://www.federalreserve.gov/releases/g19/current/</t>
  </si>
  <si>
    <t xml:space="preserve">Orbital and launch infrastructure services</t>
  </si>
  <si>
    <t xml:space="preserve">https://www.faa.gov/space</t>
  </si>
  <si>
    <t xml:space="preserve">Deterrence revenue; not a major fiscal pillar</t>
  </si>
  <si>
    <t xml:space="preserve">50% of studied mature 4% real return on $7.5T corpus</t>
  </si>
  <si>
    <t xml:space="preserve">TOTAL NEWLY BOOKED</t>
  </si>
  <si>
    <t xml:space="preserve">Excludes Social Security payment-accuracy saving</t>
  </si>
  <si>
    <t xml:space="preserve">BUDGET SUMMARY | NLA STARTUP, FULL-TERM GROWTH, AND MATURITY</t>
  </si>
  <si>
    <t xml:space="preserve">Year 0 uses the startup NLA portfolio, Year 4 uses the full-term growth portfolio, and Year 10 uses the mature NLA portfolio. NCC uses the validated $68T Year 0 base and 1.2% annual real valuation growth.</t>
  </si>
  <si>
    <t xml:space="preserve">Fiscal line</t>
  </si>
  <si>
    <t xml:space="preserve">Citizen + employer contributions</t>
  </si>
  <si>
    <t xml:space="preserve">Resident Contributor incremental contributions</t>
  </si>
  <si>
    <t xml:space="preserve">Noncitizen OASDI benefit savings</t>
  </si>
  <si>
    <t xml:space="preserve">NLA institutional / international earnings</t>
  </si>
  <si>
    <t xml:space="preserve">Social Security funding before NCC</t>
  </si>
  <si>
    <t xml:space="preserve">Net OASDI obligation after $6B payment-accuracy saving</t>
  </si>
  <si>
    <t xml:space="preserve">Social Security gap before NCC</t>
  </si>
  <si>
    <t xml:space="preserve">Consolidated replacement surplus</t>
  </si>
  <si>
    <t xml:space="preserve">ILLUSTRATIVE HOUSEHOLD INCIDENCE | CURRENT 2024 FEDERAL CODE VS PROPOSED 10% + 3% + HSA TIER</t>
  </si>
  <si>
    <t xml:space="preserve">Single-filer illustrations in 2024 dollars. Current burden includes federal individual income tax and employee payroll tax. Proposed burden includes the 10% liquid-income tax, 3% citizen Social Security contribution, and the assigned citizen HSA tier. Employer-side contributions, state taxes, credits, itemized deductions, and current insurance premiums are excluded.</t>
  </si>
  <si>
    <t xml:space="preserve">Profile</t>
  </si>
  <si>
    <t xml:space="preserve">Wages / taxable pension ($)</t>
  </si>
  <si>
    <t xml:space="preserve">SS benefits ($)</t>
  </si>
  <si>
    <t xml:space="preserve">HSA tier</t>
  </si>
  <si>
    <t xml:space="preserve">Current taxable income ($)</t>
  </si>
  <si>
    <t xml:space="preserve">Current federal income tax ($)</t>
  </si>
  <si>
    <t xml:space="preserve">Current employee payroll tax ($)</t>
  </si>
  <si>
    <t xml:space="preserve">Current total burden ($)</t>
  </si>
  <si>
    <t xml:space="preserve">Proposed 10% tax ($)</t>
  </si>
  <si>
    <t xml:space="preserve">Proposed 3% SS ($)</t>
  </si>
  <si>
    <t xml:space="preserve">Proposed HSA ($)</t>
  </si>
  <si>
    <t xml:space="preserve">Proposed total burden ($)</t>
  </si>
  <si>
    <t xml:space="preserve">Change ($)</t>
  </si>
  <si>
    <t xml:space="preserve">Change (% of liquid income)</t>
  </si>
  <si>
    <t xml:space="preserve">Nurse</t>
  </si>
  <si>
    <t xml:space="preserve">Machinist</t>
  </si>
  <si>
    <t xml:space="preserve">Retiree</t>
  </si>
  <si>
    <t xml:space="preserve">Surgeon</t>
  </si>
  <si>
    <t xml:space="preserve">Interpretation: these are transparent examples, not a distributional microsimulation. The retiree receives $30,000 of Social Security benefits. Current law taxes the applicable portion of those benefits, while the proposed liquid-income base excludes Social Security benefits entirely.</t>
  </si>
  <si>
    <t xml:space="preserve">Source / assumption</t>
  </si>
  <si>
    <t xml:space="preserve">Note</t>
  </si>
  <si>
    <t xml:space="preserve">2024 single standard deduction</t>
  </si>
  <si>
    <t xml:space="preserve">https://www.irs.gov/pub/irs-drop/rp-23-34.pdf</t>
  </si>
  <si>
    <t xml:space="preserve">IRS Revenue Procedure 2023-34</t>
  </si>
  <si>
    <t xml:space="preserve">2024 additional aged single deduction</t>
  </si>
  <si>
    <t xml:space="preserve">Used for retiree illustration</t>
  </si>
  <si>
    <t xml:space="preserve">2024 OASDI wage cap</t>
  </si>
  <si>
    <t xml:space="preserve">https://www.ssa.gov/benefits/retirement/planner/maxtax.html</t>
  </si>
  <si>
    <t xml:space="preserve">Employee rate 6.2%</t>
  </si>
  <si>
    <t xml:space="preserve">Employee Medicare rate</t>
  </si>
  <si>
    <t xml:space="preserve">https://www.ssa.gov/oact/progdata/taxRates.html</t>
  </si>
  <si>
    <t xml:space="preserve">No wage cap</t>
  </si>
  <si>
    <t xml:space="preserve">Additional Medicare threshold, single</t>
  </si>
  <si>
    <t xml:space="preserve">https://www.irs.gov/taxtopics/tc560</t>
  </si>
  <si>
    <t xml:space="preserve">0.9% above threshold</t>
  </si>
  <si>
    <t xml:space="preserve">Proposed HSA tiers</t>
  </si>
  <si>
    <t xml:space="preserve">Internal policy model</t>
  </si>
  <si>
    <t xml:space="preserve">Illustrations assign retiree 2%, workers 3%, surgeon 5%</t>
  </si>
  <si>
    <t xml:space="preserve">NATIONAL CONTINUITY CONTRIBUTION | FAMILY FARM AND OPERATING SMALL-BUSINESS CARVE-OUT</t>
  </si>
  <si>
    <t xml:space="preserve">The current $1 million threshold reaches many asset-rich but cash-constrained farms and machine shops. This sheet publishes the revenue cost of removing portions of the $68 trillion central base and tests a qualified operating-enterprise allowance.</t>
  </si>
  <si>
    <t xml:space="preserve">Policy treatment</t>
  </si>
  <si>
    <t xml:space="preserve">Low case</t>
  </si>
  <si>
    <t xml:space="preserve">High case</t>
  </si>
  <si>
    <t xml:space="preserve">Central covered enterprise-value base</t>
  </si>
  <si>
    <t xml:space="preserve">National_Continuity</t>
  </si>
  <si>
    <t xml:space="preserve">Before carve-out</t>
  </si>
  <si>
    <t xml:space="preserve">Studied</t>
  </si>
  <si>
    <t xml:space="preserve">Annual rate</t>
  </si>
  <si>
    <t xml:space="preserve">Adopted policy</t>
  </si>
  <si>
    <t xml:space="preserve">Median family-farm household wealth</t>
  </si>
  <si>
    <t xml:space="preserve">$M</t>
  </si>
  <si>
    <t xml:space="preserve">USDA ERS, 2023</t>
  </si>
  <si>
    <t xml:space="preserve">Shows $1M threshold reaches ordinary family farms</t>
  </si>
  <si>
    <t xml:space="preserve">Small family farms share</t>
  </si>
  <si>
    <t xml:space="preserve">Share of farms</t>
  </si>
  <si>
    <t xml:space="preserve">USDA ERS, 2024</t>
  </si>
  <si>
    <t xml:space="preserve">Political exposure indicator</t>
  </si>
  <si>
    <t xml:space="preserve">Recommended qualified operating-enterprise allowance</t>
  </si>
  <si>
    <t xml:space="preserve">Model design</t>
  </si>
  <si>
    <t xml:space="preserve">First $5M exempt for qualifying family farms and closely held operating manufacturers</t>
  </si>
  <si>
    <t xml:space="preserve">Proposal</t>
  </si>
  <si>
    <t xml:space="preserve">Full-rate threshold after phase-in</t>
  </si>
  <si>
    <t xml:space="preserve">0.25% between allowance and full-rate threshold; 0.73% above threshold</t>
  </si>
  <si>
    <t xml:space="preserve">Excluded valuation from central base ($T)</t>
  </si>
  <si>
    <t xml:space="preserve">Annual revenue loss ($B)</t>
  </si>
  <si>
    <t xml:space="preserve">Year 10 surplus after carve-out ($B)</t>
  </si>
  <si>
    <t xml:space="preserve">Share of $68T base removed</t>
  </si>
  <si>
    <t xml:space="preserve">Sensitivity; registry data required</t>
  </si>
  <si>
    <t xml:space="preserve">Recommended statutory design: exclude the first $5 million of qualified operating enterprise value for family farms and closely held manufacturers; apply 0.25% from $5 million to $10 million; apply 0.73% above $10 million. Qualification requires active domestic operations, majority family or employee ownership, a five-year holding test, common-control aggregation, and recapture when assets are sold or converted to passive holdings. The fiscal headline remains unchanged until registry data validates the excluded base.</t>
  </si>
  <si>
    <t xml:space="preserve">Evidence used</t>
  </si>
  <si>
    <t xml:space="preserve">Caution</t>
  </si>
  <si>
    <t xml:space="preserve">USDA ERS, Farm Household Wealth</t>
  </si>
  <si>
    <t xml:space="preserve">https://www.ers.usda.gov/topics/farm-economy/farm-household-well-being/income-and-wealth-in-context</t>
  </si>
  <si>
    <t xml:space="preserve">Median farm-household wealth near or above $1M</t>
  </si>
  <si>
    <t xml:space="preserve">Household wealth is not enterprise value</t>
  </si>
  <si>
    <t xml:space="preserve">USDA ERS, Farms and Ranches at a Glance 2024</t>
  </si>
  <si>
    <t xml:space="preserve">https://ers.usda.gov/sites/default/files/_laserfiche/publications/110560/EIB-283.pdf</t>
  </si>
  <si>
    <t xml:space="preserve">Small family farms dominate farm count</t>
  </si>
  <si>
    <t xml:space="preserve">Sales class differs from valuation</t>
  </si>
  <si>
    <t xml:space="preserve">USDA NASS, 2024 Land Values</t>
  </si>
  <si>
    <t xml:space="preserve">https://www.nass.usda.gov/Publications/Highlights/2024/2024LandValuesCashRents.pdf</t>
  </si>
  <si>
    <t xml:space="preserve">Farm real estate averaged $4,170 per acre</t>
  </si>
  <si>
    <t xml:space="preserve">Includes buildings</t>
  </si>
  <si>
    <t xml:space="preserve">Census Annual Business Survey</t>
  </si>
  <si>
    <t xml:space="preserve">https://www.census.gov/programs-surveys/abs.html</t>
  </si>
  <si>
    <t xml:space="preserve">Registry validation source for operating firms</t>
  </si>
  <si>
    <t xml:space="preserve">No current national enterprise-value distribution</t>
  </si>
</sst>
</file>

<file path=xl/styles.xml><?xml version="1.0" encoding="utf-8"?>
<styleSheet xmlns="http://schemas.openxmlformats.org/spreadsheetml/2006/main">
  <numFmts count="14">
    <numFmt numFmtId="164" formatCode="General"/>
    <numFmt numFmtId="165" formatCode="\$#,##0.0"/>
    <numFmt numFmtId="166" formatCode="#,##0.000;[RED]\(#,##0.000\);\-"/>
    <numFmt numFmtId="167" formatCode="0.0%"/>
    <numFmt numFmtId="168" formatCode="\$#,##0.0;[RED]&quot;($&quot;#,##0.0\);\-"/>
    <numFmt numFmtId="169" formatCode="0.0%;[RED]\(0.0%\);\-"/>
    <numFmt numFmtId="170" formatCode="#,##0.0;[RED]\(#,##0.0\);\-"/>
    <numFmt numFmtId="171" formatCode="#,##0.0"/>
    <numFmt numFmtId="172" formatCode="General"/>
    <numFmt numFmtId="173" formatCode="0.000"/>
    <numFmt numFmtId="174" formatCode="\$#,##0;[RED]&quot;($&quot;#,##0\);\-"/>
    <numFmt numFmtId="175" formatCode="0.0\x"/>
    <numFmt numFmtId="176" formatCode="0.00%"/>
    <numFmt numFmtId="177" formatCode="0.0"/>
  </numFmts>
  <fonts count="38">
    <font>
      <sz val="10"/>
      <name val="Arial"/>
      <family val="2"/>
      <charset val="1"/>
    </font>
    <font>
      <sz val="10"/>
      <name val="Arial"/>
      <family val="0"/>
    </font>
    <font>
      <sz val="10"/>
      <name val="Arial"/>
      <family val="0"/>
    </font>
    <font>
      <sz val="10"/>
      <name val="Arial"/>
      <family val="0"/>
    </font>
    <font>
      <sz val="11"/>
      <name val="Calibri"/>
      <family val="0"/>
      <charset val="1"/>
    </font>
    <font>
      <b val="true"/>
      <sz val="15"/>
      <color rgb="FFFFFFFF"/>
      <name val="Calibri"/>
      <family val="0"/>
      <charset val="1"/>
    </font>
    <font>
      <b val="true"/>
      <sz val="14"/>
      <color rgb="FFFFFFFF"/>
      <name val="Calibri"/>
      <family val="0"/>
      <charset val="1"/>
    </font>
    <font>
      <sz val="10"/>
      <name val="Arial"/>
      <family val="0"/>
      <charset val="1"/>
    </font>
    <font>
      <b val="true"/>
      <sz val="10"/>
      <color rgb="FF000000"/>
      <name val="Arial"/>
      <family val="0"/>
      <charset val="1"/>
    </font>
    <font>
      <sz val="10"/>
      <color rgb="FF000000"/>
      <name val="Arial"/>
      <family val="0"/>
      <charset val="1"/>
    </font>
    <font>
      <b val="true"/>
      <sz val="11"/>
      <color rgb="FF000000"/>
      <name val="Calibri"/>
      <family val="0"/>
      <charset val="1"/>
    </font>
    <font>
      <sz val="11"/>
      <color rgb="FF000000"/>
      <name val="Calibri"/>
      <family val="0"/>
      <charset val="1"/>
    </font>
    <font>
      <b val="true"/>
      <sz val="11"/>
      <color rgb="FF000000"/>
      <name val="Cambria"/>
      <family val="0"/>
      <charset val="1"/>
    </font>
    <font>
      <b val="true"/>
      <sz val="10"/>
      <name val="Arial"/>
      <family val="0"/>
      <charset val="1"/>
    </font>
    <font>
      <b val="true"/>
      <sz val="11"/>
      <color rgb="FFFFFFFF"/>
      <name val="Calibri"/>
      <family val="0"/>
      <charset val="1"/>
    </font>
    <font>
      <sz val="11"/>
      <color rgb="FF0000FF"/>
      <name val="Cambria"/>
      <family val="0"/>
      <charset val="1"/>
    </font>
    <font>
      <b val="true"/>
      <sz val="10"/>
      <color rgb="FF008000"/>
      <name val="Arial"/>
      <family val="0"/>
      <charset val="1"/>
    </font>
    <font>
      <sz val="10"/>
      <color rgb="FF0000FF"/>
      <name val="Arial"/>
      <family val="0"/>
      <charset val="1"/>
    </font>
    <font>
      <b val="true"/>
      <sz val="15"/>
      <color rgb="FFFFFFFF"/>
      <name val="Arial"/>
      <family val="0"/>
      <charset val="1"/>
    </font>
    <font>
      <i val="true"/>
      <sz val="10"/>
      <name val="Arial"/>
      <family val="0"/>
      <charset val="1"/>
    </font>
    <font>
      <b val="true"/>
      <sz val="11"/>
      <color rgb="FF0000FF"/>
      <name val="Cambria"/>
      <family val="0"/>
      <charset val="1"/>
    </font>
    <font>
      <b val="true"/>
      <sz val="10"/>
      <color rgb="FFFFFFFF"/>
      <name val="Arial"/>
      <family val="0"/>
      <charset val="1"/>
    </font>
    <font>
      <sz val="10"/>
      <color rgb="FF008000"/>
      <name val="Arial"/>
      <family val="0"/>
      <charset val="1"/>
    </font>
    <font>
      <b val="true"/>
      <sz val="16"/>
      <color rgb="FFFFFFFF"/>
      <name val="Arial"/>
      <family val="0"/>
      <charset val="1"/>
    </font>
    <font>
      <b val="true"/>
      <sz val="11"/>
      <color rgb="FF008000"/>
      <name val="Cambria"/>
      <family val="0"/>
      <charset val="1"/>
    </font>
    <font>
      <b val="true"/>
      <sz val="10"/>
      <color rgb="FF0000FF"/>
      <name val="Arial"/>
      <family val="0"/>
      <charset val="1"/>
    </font>
    <font>
      <b val="true"/>
      <sz val="10"/>
      <color rgb="FF17365D"/>
      <name val="Arial"/>
      <family val="0"/>
      <charset val="1"/>
    </font>
    <font>
      <sz val="11"/>
      <color rgb="FF0000FF"/>
      <name val="Calibri"/>
      <family val="0"/>
      <charset val="1"/>
    </font>
    <font>
      <b val="true"/>
      <sz val="11"/>
      <name val="Cambria"/>
      <family val="0"/>
      <charset val="1"/>
    </font>
    <font>
      <b val="true"/>
      <sz val="11"/>
      <name val="Calibri"/>
      <family val="0"/>
      <charset val="1"/>
    </font>
    <font>
      <i val="true"/>
      <sz val="10"/>
      <color rgb="FF000000"/>
      <name val="Arial"/>
      <family val="0"/>
      <charset val="1"/>
    </font>
    <font>
      <b val="true"/>
      <sz val="11"/>
      <color rgb="FF17365D"/>
      <name val="Calibri"/>
      <family val="0"/>
      <charset val="1"/>
    </font>
    <font>
      <i val="true"/>
      <sz val="11"/>
      <name val="Calibri"/>
      <family val="0"/>
      <charset val="1"/>
    </font>
    <font>
      <b val="true"/>
      <sz val="11"/>
      <color rgb="FF17365D"/>
      <name val="Cambria"/>
      <family val="0"/>
      <charset val="1"/>
    </font>
    <font>
      <i val="true"/>
      <sz val="10"/>
      <color rgb="FF404040"/>
      <name val="Arial"/>
      <family val="0"/>
      <charset val="1"/>
    </font>
    <font>
      <b val="true"/>
      <sz val="14"/>
      <color rgb="FFFFFFFF"/>
      <name val="Arial"/>
      <family val="0"/>
      <charset val="1"/>
    </font>
    <font>
      <i val="true"/>
      <sz val="10"/>
      <color rgb="FF1F1F1F"/>
      <name val="Arial"/>
      <family val="0"/>
      <charset val="1"/>
    </font>
    <font>
      <sz val="10"/>
      <name val="Arial"/>
      <family val="2"/>
    </font>
  </fonts>
  <fills count="19">
    <fill>
      <patternFill patternType="none"/>
    </fill>
    <fill>
      <patternFill patternType="gray125"/>
    </fill>
    <fill>
      <patternFill patternType="solid">
        <fgColor rgb="FF17365D"/>
        <bgColor rgb="FF1E3A5F"/>
      </patternFill>
    </fill>
    <fill>
      <patternFill patternType="solid">
        <fgColor rgb="FFD9EAF7"/>
        <bgColor rgb="FFDDEBF7"/>
      </patternFill>
    </fill>
    <fill>
      <patternFill patternType="solid">
        <fgColor rgb="FFFFFFFF"/>
        <bgColor rgb="FFEEF5FB"/>
      </patternFill>
    </fill>
    <fill>
      <patternFill patternType="solid">
        <fgColor rgb="FF1E3A5F"/>
        <bgColor rgb="FF17365D"/>
      </patternFill>
    </fill>
    <fill>
      <patternFill patternType="solid">
        <fgColor rgb="FF2F5597"/>
        <bgColor rgb="FF1F4E78"/>
      </patternFill>
    </fill>
    <fill>
      <patternFill patternType="solid">
        <fgColor rgb="FFF2F2F2"/>
        <bgColor rgb="FFEEF5FB"/>
      </patternFill>
    </fill>
    <fill>
      <patternFill patternType="solid">
        <fgColor rgb="FFDDEBF7"/>
        <bgColor rgb="FFD9EAF7"/>
      </patternFill>
    </fill>
    <fill>
      <patternFill patternType="solid">
        <fgColor rgb="FF1F4E78"/>
        <bgColor rgb="FF2F5597"/>
      </patternFill>
    </fill>
    <fill>
      <patternFill patternType="solid">
        <fgColor rgb="FFE2F0D9"/>
        <bgColor rgb="FFD9EAD3"/>
      </patternFill>
    </fill>
    <fill>
      <patternFill patternType="solid">
        <fgColor rgb="FFEEF5FB"/>
        <bgColor rgb="FFEAF2F8"/>
      </patternFill>
    </fill>
    <fill>
      <patternFill patternType="solid">
        <fgColor rgb="FFFCE4D6"/>
        <bgColor rgb="FFFCE8E6"/>
      </patternFill>
    </fill>
    <fill>
      <patternFill patternType="solid">
        <fgColor rgb="FFFFF2CC"/>
        <bgColor rgb="FFFCE4D6"/>
      </patternFill>
    </fill>
    <fill>
      <patternFill patternType="solid">
        <fgColor rgb="FFE7E6E6"/>
        <bgColor rgb="FFDDEBF7"/>
      </patternFill>
    </fill>
    <fill>
      <patternFill patternType="solid">
        <fgColor rgb="FFD9EAD3"/>
        <bgColor rgb="FFE2F0D9"/>
      </patternFill>
    </fill>
    <fill>
      <patternFill patternType="solid">
        <fgColor rgb="FFC6EFCE"/>
        <bgColor rgb="FFD9EAD3"/>
      </patternFill>
    </fill>
    <fill>
      <patternFill patternType="solid">
        <fgColor rgb="FFFCE8E6"/>
        <bgColor rgb="FFFCE4D6"/>
      </patternFill>
    </fill>
    <fill>
      <patternFill patternType="solid">
        <fgColor rgb="FFEAF2F8"/>
        <bgColor rgb="FFEEF5FB"/>
      </patternFill>
    </fill>
  </fills>
  <borders count="3">
    <border diagonalUp="false" diagonalDown="false">
      <left/>
      <right/>
      <top/>
      <bottom/>
      <diagonal/>
    </border>
    <border diagonalUp="false" diagonalDown="false">
      <left/>
      <right/>
      <top/>
      <bottom style="thin">
        <color rgb="FF7F7F7F"/>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3" borderId="0" xfId="0" applyFont="true" applyBorder="false" applyAlignment="true" applyProtection="false">
      <alignment horizontal="left" vertical="top" textRotation="0" wrapText="true" indent="0" shrinkToFit="false"/>
      <protection locked="true" hidden="false"/>
    </xf>
    <xf numFmtId="164" fontId="9" fillId="4" borderId="0" xfId="0" applyFont="true" applyBorder="false" applyAlignment="true" applyProtection="false">
      <alignment horizontal="left" vertical="top" textRotation="0" wrapText="true" indent="0" shrinkToFit="false"/>
      <protection locked="true" hidden="false"/>
    </xf>
    <xf numFmtId="164" fontId="10" fillId="3" borderId="0" xfId="0" applyFont="true" applyBorder="false" applyAlignment="true" applyProtection="false">
      <alignment horizontal="left" vertical="top" textRotation="0" wrapText="true" indent="0" shrinkToFit="false"/>
      <protection locked="true" hidden="false"/>
    </xf>
    <xf numFmtId="164" fontId="11" fillId="4" borderId="0" xfId="0" applyFont="true" applyBorder="false" applyAlignment="true" applyProtection="false">
      <alignment horizontal="left" vertical="top" textRotation="0" wrapText="true" indent="0" shrinkToFit="false"/>
      <protection locked="true" hidden="false"/>
    </xf>
    <xf numFmtId="164" fontId="12" fillId="3" borderId="0" xfId="0" applyFont="true" applyBorder="false" applyAlignment="true" applyProtection="false">
      <alignment horizontal="left" vertical="top" textRotation="0" wrapText="true" indent="0" shrinkToFit="false"/>
      <protection locked="true" hidden="false"/>
    </xf>
    <xf numFmtId="164" fontId="13" fillId="3"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true" applyAlignment="true" applyProtection="false">
      <alignment horizontal="center" vertical="center" textRotation="0" wrapText="false" indent="0" shrinkToFit="false"/>
      <protection locked="true" hidden="false"/>
    </xf>
    <xf numFmtId="164" fontId="14" fillId="6"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center" textRotation="0" wrapText="true" indent="0" shrinkToFit="false"/>
      <protection locked="true" hidden="false"/>
    </xf>
    <xf numFmtId="166" fontId="16" fillId="3"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6" fontId="17" fillId="0" borderId="0" xfId="0" applyFont="true" applyBorder="false" applyAlignment="true" applyProtection="false">
      <alignment horizontal="general" vertical="top" textRotation="0" wrapText="true" indent="0" shrinkToFit="false"/>
      <protection locked="true" hidden="false"/>
    </xf>
    <xf numFmtId="164" fontId="18" fillId="2" borderId="0" xfId="0" applyFont="true" applyBorder="true" applyAlignment="true" applyProtection="false">
      <alignment horizontal="left" vertical="center" textRotation="0" wrapText="true" indent="0" shrinkToFit="false"/>
      <protection locked="true" hidden="false"/>
    </xf>
    <xf numFmtId="164" fontId="19" fillId="7" borderId="0" xfId="0" applyFont="true" applyBorder="true" applyAlignment="true" applyProtection="false">
      <alignment horizontal="general" vertical="bottom" textRotation="0" wrapText="true" indent="0" shrinkToFit="false"/>
      <protection locked="true" hidden="false"/>
    </xf>
    <xf numFmtId="166" fontId="9" fillId="0" borderId="0" xfId="0" applyFont="true" applyBorder="false" applyAlignment="true" applyProtection="false">
      <alignment horizontal="general" vertical="top" textRotation="0" wrapText="true" indent="0" shrinkToFit="false"/>
      <protection locked="true" hidden="false"/>
    </xf>
    <xf numFmtId="166" fontId="20" fillId="0" borderId="0" xfId="0" applyFont="true" applyBorder="false" applyAlignment="true" applyProtection="false">
      <alignment horizontal="general" vertical="top" textRotation="0" wrapText="true" indent="0" shrinkToFit="false"/>
      <protection locked="true" hidden="false"/>
    </xf>
    <xf numFmtId="164" fontId="8" fillId="8" borderId="0" xfId="0" applyFont="true" applyBorder="false" applyAlignment="true" applyProtection="false">
      <alignment horizontal="general" vertical="bottom" textRotation="0" wrapText="false" indent="0" shrinkToFit="false"/>
      <protection locked="true" hidden="false"/>
    </xf>
    <xf numFmtId="166" fontId="8" fillId="8"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21" fillId="9" borderId="0" xfId="0" applyFont="true" applyBorder="true" applyAlignment="true" applyProtection="false">
      <alignment horizontal="left" vertical="center" textRotation="0" wrapText="true" indent="0" shrinkToFit="false"/>
      <protection locked="true" hidden="false"/>
    </xf>
    <xf numFmtId="166" fontId="8" fillId="3" borderId="0" xfId="0" applyFont="true" applyBorder="false" applyAlignment="true" applyProtection="false">
      <alignment horizontal="center" vertical="center" textRotation="0" wrapText="true" indent="0" shrinkToFit="false"/>
      <protection locked="true" hidden="false"/>
    </xf>
    <xf numFmtId="167" fontId="17" fillId="0" borderId="0" xfId="0" applyFont="true" applyBorder="false" applyAlignment="true" applyProtection="false">
      <alignment horizontal="general" vertical="top" textRotation="0" wrapText="true" indent="0" shrinkToFit="false"/>
      <protection locked="true" hidden="false"/>
    </xf>
    <xf numFmtId="166" fontId="22" fillId="0" borderId="0" xfId="0" applyFont="true" applyBorder="false" applyAlignment="true" applyProtection="false">
      <alignment horizontal="general" vertical="top" textRotation="0" wrapText="true" indent="0" shrinkToFit="false"/>
      <protection locked="true" hidden="false"/>
    </xf>
    <xf numFmtId="167" fontId="22" fillId="0" borderId="0" xfId="0" applyFont="true" applyBorder="false" applyAlignment="true" applyProtection="false">
      <alignment horizontal="general" vertical="top" textRotation="0" wrapText="true" indent="0" shrinkToFit="false"/>
      <protection locked="true" hidden="false"/>
    </xf>
    <xf numFmtId="164" fontId="23" fillId="2" borderId="0" xfId="0" applyFont="true" applyBorder="true" applyAlignment="true" applyProtection="false">
      <alignment horizontal="left" vertical="center" textRotation="0" wrapText="true" indent="0" shrinkToFit="false"/>
      <protection locked="true" hidden="false"/>
    </xf>
    <xf numFmtId="164" fontId="19" fillId="3" borderId="0" xfId="0" applyFont="true" applyBorder="true" applyAlignment="true" applyProtection="false">
      <alignment horizontal="general" vertical="bottom" textRotation="0" wrapText="true" indent="0" shrinkToFit="false"/>
      <protection locked="true" hidden="false"/>
    </xf>
    <xf numFmtId="164" fontId="21" fillId="9" borderId="0" xfId="0" applyFont="true" applyBorder="false" applyAlignment="true" applyProtection="false">
      <alignment horizontal="center" vertical="center" textRotation="0" wrapText="true" indent="0" shrinkToFit="false"/>
      <protection locked="true" hidden="false"/>
    </xf>
    <xf numFmtId="168" fontId="22" fillId="0" borderId="0" xfId="0" applyFont="true" applyBorder="false" applyAlignment="true" applyProtection="false">
      <alignment horizontal="general" vertical="top" textRotation="0" wrapText="true" indent="0" shrinkToFit="false"/>
      <protection locked="true" hidden="false"/>
    </xf>
    <xf numFmtId="168" fontId="24" fillId="0" borderId="0" xfId="0" applyFont="true" applyBorder="false" applyAlignment="true" applyProtection="false">
      <alignment horizontal="general" vertical="top" textRotation="0" wrapText="true" indent="0" shrinkToFit="false"/>
      <protection locked="true" hidden="false"/>
    </xf>
    <xf numFmtId="164" fontId="8" fillId="8" borderId="0" xfId="0" applyFont="true" applyBorder="false" applyAlignment="true" applyProtection="false">
      <alignment horizontal="general" vertical="bottom" textRotation="0" wrapText="true" indent="0" shrinkToFit="false"/>
      <protection locked="true" hidden="false"/>
    </xf>
    <xf numFmtId="167" fontId="25" fillId="8" borderId="0" xfId="0" applyFont="true" applyBorder="false" applyAlignment="true" applyProtection="false">
      <alignment horizontal="general" vertical="bottom" textRotation="0" wrapText="true" indent="0" shrinkToFit="false"/>
      <protection locked="true" hidden="false"/>
    </xf>
    <xf numFmtId="168" fontId="16" fillId="8" borderId="0" xfId="0" applyFont="true" applyBorder="false" applyAlignment="true" applyProtection="false">
      <alignment horizontal="general" vertical="bottom" textRotation="0" wrapText="true" indent="0" shrinkToFit="false"/>
      <protection locked="true" hidden="false"/>
    </xf>
    <xf numFmtId="167" fontId="17" fillId="0" borderId="0" xfId="0" applyFont="true" applyBorder="false" applyAlignment="true" applyProtection="false">
      <alignment horizontal="general" vertical="bottom" textRotation="0" wrapText="true" indent="0" shrinkToFit="false"/>
      <protection locked="true" hidden="false"/>
    </xf>
    <xf numFmtId="168" fontId="22" fillId="0" borderId="0" xfId="0" applyFont="true" applyBorder="false" applyAlignment="true" applyProtection="false">
      <alignment horizontal="general" vertical="bottom" textRotation="0" wrapText="true" indent="0" shrinkToFit="false"/>
      <protection locked="true" hidden="false"/>
    </xf>
    <xf numFmtId="164" fontId="26" fillId="3" borderId="0" xfId="0" applyFont="true" applyBorder="false" applyAlignment="true" applyProtection="false">
      <alignment horizontal="general" vertical="bottom" textRotation="0" wrapText="true" indent="0" shrinkToFit="false"/>
      <protection locked="true" hidden="false"/>
    </xf>
    <xf numFmtId="168" fontId="16" fillId="3" borderId="0" xfId="0" applyFont="true" applyBorder="false" applyAlignment="true" applyProtection="false">
      <alignment horizontal="general" vertical="bottom" textRotation="0" wrapText="true" indent="0" shrinkToFit="false"/>
      <protection locked="true" hidden="false"/>
    </xf>
    <xf numFmtId="168"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9" fontId="7" fillId="0" borderId="0" xfId="0" applyFont="true" applyBorder="false" applyAlignment="true" applyProtection="false">
      <alignment horizontal="general" vertical="bottom" textRotation="0" wrapText="true" indent="0" shrinkToFit="false"/>
      <protection locked="true" hidden="false"/>
    </xf>
    <xf numFmtId="170" fontId="7" fillId="0" borderId="0" xfId="0" applyFont="true" applyBorder="false" applyAlignment="true" applyProtection="false">
      <alignment horizontal="general" vertical="bottom" textRotation="0" wrapText="true" indent="0" shrinkToFit="false"/>
      <protection locked="true" hidden="false"/>
    </xf>
    <xf numFmtId="164" fontId="10" fillId="3"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6" fontId="27" fillId="0" borderId="0" xfId="0" applyFont="true" applyBorder="false" applyAlignment="true" applyProtection="false">
      <alignment horizontal="general" vertical="top" textRotation="0" wrapText="true" indent="0" shrinkToFit="false"/>
      <protection locked="true" hidden="false"/>
    </xf>
    <xf numFmtId="167" fontId="11" fillId="0" borderId="0" xfId="0" applyFont="true" applyBorder="false" applyAlignment="true" applyProtection="false">
      <alignment horizontal="general" vertical="top" textRotation="0" wrapText="true" indent="0" shrinkToFit="false"/>
      <protection locked="true" hidden="false"/>
    </xf>
    <xf numFmtId="166" fontId="11" fillId="0" borderId="0" xfId="0" applyFont="true" applyBorder="false" applyAlignment="true" applyProtection="false">
      <alignment horizontal="general" vertical="top" textRotation="0" wrapText="true" indent="0" shrinkToFit="false"/>
      <protection locked="true" hidden="false"/>
    </xf>
    <xf numFmtId="164" fontId="10" fillId="8" borderId="0" xfId="0" applyFont="true" applyBorder="false" applyAlignment="true" applyProtection="false">
      <alignment horizontal="general" vertical="top" textRotation="0" wrapText="true" indent="0" shrinkToFit="false"/>
      <protection locked="true" hidden="false"/>
    </xf>
    <xf numFmtId="166" fontId="10" fillId="8" borderId="0" xfId="0" applyFont="true" applyBorder="false" applyAlignment="true" applyProtection="false">
      <alignment horizontal="general" vertical="top" textRotation="0" wrapText="true" indent="0" shrinkToFit="false"/>
      <protection locked="true" hidden="false"/>
    </xf>
    <xf numFmtId="167" fontId="10" fillId="8" borderId="0" xfId="0" applyFont="true" applyBorder="false" applyAlignment="true" applyProtection="false">
      <alignment horizontal="general" vertical="top" textRotation="0" wrapText="true" indent="0" shrinkToFit="false"/>
      <protection locked="true" hidden="false"/>
    </xf>
    <xf numFmtId="167" fontId="27" fillId="0" borderId="0" xfId="0" applyFont="true" applyBorder="false" applyAlignment="true" applyProtection="false">
      <alignment horizontal="general" vertical="top" textRotation="0" wrapText="true" indent="0" shrinkToFit="false"/>
      <protection locked="true" hidden="false"/>
    </xf>
    <xf numFmtId="164" fontId="10" fillId="10" borderId="0" xfId="0" applyFont="true" applyBorder="false" applyAlignment="true" applyProtection="false">
      <alignment horizontal="general" vertical="top" textRotation="0" wrapText="true" indent="0" shrinkToFit="false"/>
      <protection locked="true" hidden="false"/>
    </xf>
    <xf numFmtId="166" fontId="10" fillId="10" borderId="0" xfId="0" applyFont="true" applyBorder="false" applyAlignment="true" applyProtection="false">
      <alignment horizontal="general" vertical="top" textRotation="0" wrapText="true" indent="0" shrinkToFit="false"/>
      <protection locked="true" hidden="false"/>
    </xf>
    <xf numFmtId="167" fontId="10" fillId="10" borderId="0" xfId="0" applyFont="true" applyBorder="false" applyAlignment="true" applyProtection="false">
      <alignment horizontal="general" vertical="top" textRotation="0" wrapText="true" indent="0" shrinkToFit="false"/>
      <protection locked="true" hidden="false"/>
    </xf>
    <xf numFmtId="164" fontId="18" fillId="2" borderId="0"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7" fillId="11" borderId="0" xfId="0" applyFont="true" applyBorder="false" applyAlignment="true" applyProtection="false">
      <alignment horizontal="general" vertical="bottom" textRotation="0" wrapText="true" indent="0" shrinkToFit="false"/>
      <protection locked="true" hidden="false"/>
    </xf>
    <xf numFmtId="169" fontId="7" fillId="11" borderId="0" xfId="0" applyFont="true" applyBorder="false" applyAlignment="true" applyProtection="false">
      <alignment horizontal="general" vertical="bottom" textRotation="0" wrapText="true" indent="0" shrinkToFit="false"/>
      <protection locked="true" hidden="false"/>
    </xf>
    <xf numFmtId="170" fontId="7" fillId="11" borderId="0" xfId="0" applyFont="true" applyBorder="false" applyAlignment="true" applyProtection="false">
      <alignment horizontal="general" vertical="bottom" textRotation="0" wrapText="true" indent="0" shrinkToFit="false"/>
      <protection locked="true" hidden="false"/>
    </xf>
    <xf numFmtId="164" fontId="7" fillId="12" borderId="0" xfId="0" applyFont="true" applyBorder="false" applyAlignment="true" applyProtection="false">
      <alignment horizontal="general" vertical="bottom" textRotation="0" wrapText="true" indent="0" shrinkToFit="false"/>
      <protection locked="true" hidden="false"/>
    </xf>
    <xf numFmtId="169" fontId="7" fillId="12" borderId="0" xfId="0" applyFont="true" applyBorder="false" applyAlignment="true" applyProtection="false">
      <alignment horizontal="general" vertical="bottom" textRotation="0" wrapText="true" indent="0" shrinkToFit="false"/>
      <protection locked="true" hidden="false"/>
    </xf>
    <xf numFmtId="170" fontId="28" fillId="12" borderId="0" xfId="0" applyFont="true" applyBorder="false" applyAlignment="true" applyProtection="false">
      <alignment horizontal="general" vertical="bottom" textRotation="0" wrapText="true" indent="0" shrinkToFit="false"/>
      <protection locked="true" hidden="false"/>
    </xf>
    <xf numFmtId="164" fontId="19" fillId="11" borderId="0" xfId="0" applyFont="true" applyBorder="true" applyAlignment="true" applyProtection="false">
      <alignment horizontal="general" vertical="bottom" textRotation="0" wrapText="true" indent="0" shrinkToFit="false"/>
      <protection locked="true" hidden="false"/>
    </xf>
    <xf numFmtId="166" fontId="7" fillId="0" borderId="0" xfId="0" applyFont="true" applyBorder="false" applyAlignment="true" applyProtection="false">
      <alignment horizontal="general" vertical="bottom" textRotation="0" wrapText="true" indent="0" shrinkToFit="false"/>
      <protection locked="true" hidden="false"/>
    </xf>
    <xf numFmtId="164" fontId="19" fillId="13" borderId="0" xfId="0" applyFont="true" applyBorder="true" applyAlignment="true" applyProtection="false">
      <alignment horizontal="general" vertical="bottom"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7" fillId="10" borderId="0" xfId="0" applyFont="true" applyBorder="false" applyAlignment="true" applyProtection="false">
      <alignment horizontal="general" vertical="bottom" textRotation="0" wrapText="true" indent="0" shrinkToFit="false"/>
      <protection locked="true" hidden="false"/>
    </xf>
    <xf numFmtId="169" fontId="7" fillId="10" borderId="0" xfId="0" applyFont="true" applyBorder="false" applyAlignment="true" applyProtection="false">
      <alignment horizontal="general" vertical="bottom" textRotation="0" wrapText="true" indent="0" shrinkToFit="false"/>
      <protection locked="true" hidden="false"/>
    </xf>
    <xf numFmtId="170" fontId="7" fillId="10" borderId="0" xfId="0" applyFont="true" applyBorder="false" applyAlignment="true" applyProtection="false">
      <alignment horizontal="general" vertical="bottom" textRotation="0" wrapText="true" indent="0" shrinkToFit="false"/>
      <protection locked="true" hidden="false"/>
    </xf>
    <xf numFmtId="170" fontId="28" fillId="10" borderId="0" xfId="0" applyFont="true" applyBorder="false" applyAlignment="true" applyProtection="false">
      <alignment horizontal="general" vertical="bottom" textRotation="0" wrapText="true" indent="0" shrinkToFit="false"/>
      <protection locked="true" hidden="false"/>
    </xf>
    <xf numFmtId="164" fontId="7" fillId="14" borderId="0" xfId="0" applyFont="true" applyBorder="false" applyAlignment="true" applyProtection="false">
      <alignment horizontal="general" vertical="bottom" textRotation="0" wrapText="true" indent="0" shrinkToFit="false"/>
      <protection locked="true" hidden="false"/>
    </xf>
    <xf numFmtId="169" fontId="7" fillId="14" borderId="0" xfId="0" applyFont="true" applyBorder="false" applyAlignment="true" applyProtection="false">
      <alignment horizontal="general" vertical="bottom" textRotation="0" wrapText="true" indent="0" shrinkToFit="false"/>
      <protection locked="true" hidden="false"/>
    </xf>
    <xf numFmtId="170" fontId="7" fillId="14" borderId="0" xfId="0" applyFont="true" applyBorder="false" applyAlignment="true" applyProtection="false">
      <alignment horizontal="general" vertical="bottom" textRotation="0" wrapText="true" indent="0" shrinkToFit="false"/>
      <protection locked="true" hidden="false"/>
    </xf>
    <xf numFmtId="164" fontId="30" fillId="11" borderId="0" xfId="0" applyFont="true" applyBorder="true" applyAlignment="true" applyProtection="false">
      <alignment horizontal="general" vertical="bottom" textRotation="0" wrapText="true" indent="0" shrinkToFit="false"/>
      <protection locked="true" hidden="false"/>
    </xf>
    <xf numFmtId="167" fontId="4" fillId="0" borderId="0" xfId="0" applyFont="true" applyBorder="false" applyAlignment="true" applyProtection="false">
      <alignment horizontal="general" vertical="bottom" textRotation="0" wrapText="true" indent="0" shrinkToFit="false"/>
      <protection locked="true" hidden="false"/>
    </xf>
    <xf numFmtId="164" fontId="29" fillId="10" borderId="0" xfId="0" applyFont="true" applyBorder="false" applyAlignment="true" applyProtection="false">
      <alignment horizontal="general" vertical="bottom" textRotation="0" wrapText="true" indent="0" shrinkToFit="false"/>
      <protection locked="true" hidden="false"/>
    </xf>
    <xf numFmtId="165" fontId="29" fillId="10" borderId="0" xfId="0" applyFont="true" applyBorder="false" applyAlignment="true" applyProtection="false">
      <alignment horizontal="general" vertical="bottom" textRotation="0" wrapText="true" indent="0" shrinkToFit="false"/>
      <protection locked="true" hidden="false"/>
    </xf>
    <xf numFmtId="167" fontId="29" fillId="10" borderId="0" xfId="0" applyFont="true" applyBorder="false" applyAlignment="true" applyProtection="false">
      <alignment horizontal="general" vertical="bottom" textRotation="0" wrapText="true" indent="0" shrinkToFit="false"/>
      <protection locked="true" hidden="false"/>
    </xf>
    <xf numFmtId="164" fontId="29" fillId="13" borderId="0" xfId="0" applyFont="true" applyBorder="false" applyAlignment="true" applyProtection="false">
      <alignment horizontal="general" vertical="bottom" textRotation="0" wrapText="true" indent="0" shrinkToFit="false"/>
      <protection locked="true" hidden="false"/>
    </xf>
    <xf numFmtId="165" fontId="29" fillId="13"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14" fillId="9" borderId="0" xfId="0" applyFont="true" applyBorder="false" applyAlignment="true" applyProtection="false">
      <alignment horizontal="center" vertical="center" textRotation="0" wrapText="true" indent="0" shrinkToFit="false"/>
      <protection locked="true" hidden="false"/>
    </xf>
    <xf numFmtId="170" fontId="4" fillId="0" borderId="0" xfId="0" applyFont="true" applyBorder="false" applyAlignment="true" applyProtection="false">
      <alignment horizontal="general" vertical="bottom" textRotation="0" wrapText="true" indent="0" shrinkToFit="false"/>
      <protection locked="true" hidden="false"/>
    </xf>
    <xf numFmtId="169" fontId="4" fillId="0" borderId="0" xfId="0" applyFont="true" applyBorder="false" applyAlignment="true" applyProtection="false">
      <alignment horizontal="general" vertical="bottom" textRotation="0" wrapText="true" indent="0" shrinkToFit="false"/>
      <protection locked="true" hidden="false"/>
    </xf>
    <xf numFmtId="170" fontId="29" fillId="13" borderId="0" xfId="0" applyFont="true" applyBorder="false" applyAlignment="true" applyProtection="false">
      <alignment horizontal="general" vertical="bottom" textRotation="0" wrapText="true" indent="0" shrinkToFit="false"/>
      <protection locked="true" hidden="false"/>
    </xf>
    <xf numFmtId="169" fontId="29" fillId="13" borderId="0" xfId="0" applyFont="true" applyBorder="false" applyAlignment="true" applyProtection="false">
      <alignment horizontal="general" vertical="bottom" textRotation="0" wrapText="true" indent="0" shrinkToFit="false"/>
      <protection locked="true" hidden="false"/>
    </xf>
    <xf numFmtId="171" fontId="29" fillId="13" borderId="0" xfId="0" applyFont="true" applyBorder="false" applyAlignment="true" applyProtection="false">
      <alignment horizontal="general" vertical="bottom" textRotation="0" wrapText="true" indent="0" shrinkToFit="false"/>
      <protection locked="true" hidden="false"/>
    </xf>
    <xf numFmtId="171" fontId="4" fillId="0" borderId="0" xfId="0" applyFont="true" applyBorder="false" applyAlignment="true" applyProtection="false">
      <alignment horizontal="general" vertical="bottom" textRotation="0" wrapText="true" indent="0" shrinkToFit="false"/>
      <protection locked="true" hidden="false"/>
    </xf>
    <xf numFmtId="170" fontId="14" fillId="9" borderId="0" xfId="0" applyFont="true" applyBorder="false" applyAlignment="true" applyProtection="false">
      <alignment horizontal="center" vertical="center" textRotation="0" wrapText="true" indent="0" shrinkToFit="false"/>
      <protection locked="true" hidden="false"/>
    </xf>
    <xf numFmtId="171" fontId="14" fillId="9" borderId="0" xfId="0" applyFont="true" applyBorder="false" applyAlignment="true" applyProtection="false">
      <alignment horizontal="center" vertical="center" textRotation="0" wrapText="true" indent="0" shrinkToFit="false"/>
      <protection locked="true" hidden="false"/>
    </xf>
    <xf numFmtId="164" fontId="29" fillId="13" borderId="0" xfId="0" applyFont="true" applyBorder="true" applyAlignment="true" applyProtection="false">
      <alignment horizontal="general" vertical="bottom" textRotation="0" wrapText="true" indent="0" shrinkToFit="false"/>
      <protection locked="true" hidden="false"/>
    </xf>
    <xf numFmtId="164" fontId="21" fillId="2" borderId="0" xfId="0" applyFont="true" applyBorder="true" applyAlignment="true" applyProtection="false">
      <alignment horizontal="center" vertical="center" textRotation="0" wrapText="true" indent="0" shrinkToFit="false"/>
      <protection locked="true" hidden="false"/>
    </xf>
    <xf numFmtId="164" fontId="31" fillId="3" borderId="0" xfId="0" applyFont="true" applyBorder="false" applyAlignment="true" applyProtection="false">
      <alignment horizontal="general" vertical="bottom" textRotation="0" wrapText="true" indent="0" shrinkToFit="false"/>
      <protection locked="true" hidden="false"/>
    </xf>
    <xf numFmtId="170" fontId="31" fillId="3" borderId="0" xfId="0" applyFont="true" applyBorder="false" applyAlignment="true" applyProtection="false">
      <alignment horizontal="general" vertical="bottom" textRotation="0" wrapText="true" indent="0" shrinkToFit="false"/>
      <protection locked="true" hidden="false"/>
    </xf>
    <xf numFmtId="164" fontId="32" fillId="10" borderId="0" xfId="0" applyFont="true" applyBorder="true" applyAlignment="true" applyProtection="false">
      <alignment horizontal="general" vertical="bottom" textRotation="0" wrapText="true" indent="0" shrinkToFit="false"/>
      <protection locked="true" hidden="false"/>
    </xf>
    <xf numFmtId="164" fontId="23" fillId="2" borderId="0" xfId="0" applyFont="true" applyBorder="true" applyAlignment="true" applyProtection="false">
      <alignment horizontal="general" vertical="center" textRotation="0" wrapText="true" indent="0" shrinkToFit="false"/>
      <protection locked="true" hidden="false"/>
    </xf>
    <xf numFmtId="164" fontId="26" fillId="3" borderId="0" xfId="0" applyFont="true" applyBorder="true" applyAlignment="true" applyProtection="false">
      <alignment horizontal="general" vertical="center" textRotation="0" wrapText="true" indent="0" shrinkToFit="false"/>
      <protection locked="true" hidden="false"/>
    </xf>
    <xf numFmtId="164" fontId="21" fillId="9" borderId="1" xfId="0" applyFont="true" applyBorder="true" applyAlignment="true" applyProtection="false">
      <alignment horizontal="center" vertical="center" textRotation="0" wrapText="true" indent="0" shrinkToFit="false"/>
      <protection locked="true" hidden="false"/>
    </xf>
    <xf numFmtId="170" fontId="22" fillId="0" borderId="0" xfId="0" applyFont="true" applyBorder="false" applyAlignment="true" applyProtection="false">
      <alignment horizontal="general" vertical="bottom" textRotation="0" wrapText="true" indent="0" shrinkToFit="false"/>
      <protection locked="true" hidden="false"/>
    </xf>
    <xf numFmtId="170" fontId="24" fillId="0" borderId="0" xfId="0" applyFont="true" applyBorder="false" applyAlignment="true" applyProtection="false">
      <alignment horizontal="general" vertical="bottom" textRotation="0" wrapText="true" indent="0" shrinkToFit="false"/>
      <protection locked="true" hidden="false"/>
    </xf>
    <xf numFmtId="170" fontId="16" fillId="9" borderId="1" xfId="0" applyFont="true" applyBorder="true" applyAlignment="true" applyProtection="false">
      <alignment horizontal="center" vertical="center" textRotation="0" wrapText="true" indent="0" shrinkToFit="false"/>
      <protection locked="true" hidden="false"/>
    </xf>
    <xf numFmtId="170" fontId="22" fillId="11" borderId="0" xfId="0" applyFont="true" applyBorder="false" applyAlignment="true" applyProtection="false">
      <alignment horizontal="general" vertical="bottom" textRotation="0" wrapText="true" indent="0" shrinkToFit="false"/>
      <protection locked="true" hidden="false"/>
    </xf>
    <xf numFmtId="164" fontId="21" fillId="9" borderId="0" xfId="0" applyFont="true" applyBorder="false" applyAlignment="true" applyProtection="false">
      <alignment horizontal="general" vertical="center" textRotation="0" wrapText="tru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70" fontId="16" fillId="3" borderId="1" xfId="0" applyFont="true" applyBorder="true" applyAlignment="true" applyProtection="false">
      <alignment horizontal="general" vertical="center" textRotation="0" wrapText="true" indent="0" shrinkToFit="false"/>
      <protection locked="true" hidden="false"/>
    </xf>
    <xf numFmtId="170" fontId="16" fillId="3" borderId="0" xfId="0" applyFont="true" applyBorder="false" applyAlignment="true" applyProtection="false">
      <alignment horizontal="general" vertical="bottom" textRotation="0" wrapText="true" indent="0" shrinkToFit="false"/>
      <protection locked="true" hidden="false"/>
    </xf>
    <xf numFmtId="170" fontId="16" fillId="9" borderId="0" xfId="0" applyFont="true" applyBorder="false" applyAlignment="true" applyProtection="false">
      <alignment horizontal="center" vertical="center" textRotation="0" wrapText="true" indent="0" shrinkToFit="false"/>
      <protection locked="true" hidden="false"/>
    </xf>
    <xf numFmtId="164" fontId="21" fillId="9" borderId="0" xfId="0" applyFont="true" applyBorder="true" applyAlignment="true" applyProtection="false">
      <alignment horizontal="general" vertical="center" textRotation="0" wrapText="true" indent="0" shrinkToFit="false"/>
      <protection locked="true" hidden="false"/>
    </xf>
    <xf numFmtId="170" fontId="24" fillId="9" borderId="0" xfId="0" applyFont="true" applyBorder="false" applyAlignment="true" applyProtection="false">
      <alignment horizontal="center" vertical="center" textRotation="0" wrapText="true" indent="0" shrinkToFit="false"/>
      <protection locked="true" hidden="false"/>
    </xf>
    <xf numFmtId="168" fontId="16" fillId="3" borderId="1" xfId="0" applyFont="true" applyBorder="true" applyAlignment="true" applyProtection="false">
      <alignment horizontal="general" vertical="center" textRotation="0" wrapText="true" indent="0" shrinkToFit="false"/>
      <protection locked="true" hidden="false"/>
    </xf>
    <xf numFmtId="168" fontId="16" fillId="9" borderId="0" xfId="0" applyFont="true" applyBorder="false" applyAlignment="true" applyProtection="false">
      <alignment horizontal="center" vertical="center" textRotation="0" wrapText="true" indent="0" shrinkToFit="false"/>
      <protection locked="true" hidden="false"/>
    </xf>
    <xf numFmtId="164" fontId="7" fillId="13" borderId="0" xfId="0" applyFont="true" applyBorder="false" applyAlignment="true" applyProtection="false">
      <alignment horizontal="general" vertical="bottom" textRotation="0" wrapText="true" indent="0" shrinkToFit="false"/>
      <protection locked="true" hidden="false"/>
    </xf>
    <xf numFmtId="168" fontId="22" fillId="13" borderId="0" xfId="0" applyFont="true" applyBorder="false" applyAlignment="true" applyProtection="false">
      <alignment horizontal="general" vertical="bottom" textRotation="0" wrapText="true" indent="0" shrinkToFit="false"/>
      <protection locked="true" hidden="false"/>
    </xf>
    <xf numFmtId="168" fontId="24" fillId="0" borderId="0" xfId="0" applyFont="true" applyBorder="false" applyAlignment="true" applyProtection="false">
      <alignment horizontal="general" vertical="bottom" textRotation="0" wrapText="tru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8" fontId="33" fillId="3" borderId="0" xfId="0" applyFont="true" applyBorder="false" applyAlignment="true" applyProtection="false">
      <alignment horizontal="general" vertical="bottom" textRotation="0" wrapText="true" indent="0" shrinkToFit="false"/>
      <protection locked="true" hidden="false"/>
    </xf>
    <xf numFmtId="164" fontId="23" fillId="2" borderId="0" xfId="0" applyFont="true" applyBorder="true" applyAlignment="true" applyProtection="false">
      <alignment horizontal="center" vertical="center" textRotation="0" wrapText="true" indent="0" shrinkToFit="false"/>
      <protection locked="true" hidden="false"/>
    </xf>
    <xf numFmtId="166" fontId="22" fillId="0" borderId="0" xfId="0" applyFont="true" applyBorder="false" applyAlignment="true" applyProtection="false">
      <alignment horizontal="general" vertical="bottom" textRotation="0" wrapText="true" indent="0" shrinkToFit="false"/>
      <protection locked="true" hidden="false"/>
    </xf>
    <xf numFmtId="164" fontId="13" fillId="3" borderId="0" xfId="0" applyFont="true" applyBorder="false" applyAlignment="true" applyProtection="false">
      <alignment horizontal="general" vertical="bottom" textRotation="0" wrapText="true" indent="0" shrinkToFit="false"/>
      <protection locked="true" hidden="false"/>
    </xf>
    <xf numFmtId="166" fontId="16" fillId="3" borderId="0" xfId="0" applyFont="true" applyBorder="false" applyAlignment="true" applyProtection="false">
      <alignment horizontal="general" vertical="bottom" textRotation="0" wrapText="true" indent="0" shrinkToFit="false"/>
      <protection locked="true" hidden="false"/>
    </xf>
    <xf numFmtId="164" fontId="8" fillId="3" borderId="0" xfId="0" applyFont="true" applyBorder="false" applyAlignment="true" applyProtection="false">
      <alignment horizontal="general" vertical="bottom" textRotation="0" wrapText="true" indent="0" shrinkToFit="false"/>
      <protection locked="true" hidden="false"/>
    </xf>
    <xf numFmtId="166" fontId="8" fillId="3" borderId="0" xfId="0" applyFont="true" applyBorder="false" applyAlignment="true" applyProtection="false">
      <alignment horizontal="general" vertical="bottom" textRotation="0" wrapText="true" indent="0" shrinkToFit="false"/>
      <protection locked="true" hidden="false"/>
    </xf>
    <xf numFmtId="170" fontId="22" fillId="13" borderId="0" xfId="0" applyFont="true" applyBorder="false" applyAlignment="true" applyProtection="false">
      <alignment horizontal="general" vertical="bottom" textRotation="0" wrapText="true" indent="0" shrinkToFit="false"/>
      <protection locked="true" hidden="false"/>
    </xf>
    <xf numFmtId="170" fontId="22" fillId="10" borderId="0" xfId="0" applyFont="true" applyBorder="false" applyAlignment="true" applyProtection="false">
      <alignment horizontal="general" vertical="bottom" textRotation="0" wrapText="true" indent="0" shrinkToFit="false"/>
      <protection locked="true" hidden="false"/>
    </xf>
    <xf numFmtId="164" fontId="34" fillId="3" borderId="0" xfId="0" applyFont="true" applyBorder="true" applyAlignment="true" applyProtection="false">
      <alignment horizontal="general" vertical="bottom"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70" fontId="9" fillId="4" borderId="0" xfId="0" applyFont="true" applyBorder="false" applyAlignment="true" applyProtection="false">
      <alignment horizontal="general" vertical="top" textRotation="0" wrapText="true" indent="0" shrinkToFit="false"/>
      <protection locked="true" hidden="false"/>
    </xf>
    <xf numFmtId="170" fontId="22" fillId="4" borderId="0" xfId="0" applyFont="true" applyBorder="false" applyAlignment="true" applyProtection="false">
      <alignment horizontal="general" vertical="top" textRotation="0" wrapText="true" indent="0" shrinkToFit="false"/>
      <protection locked="true" hidden="false"/>
    </xf>
    <xf numFmtId="164" fontId="26" fillId="3" borderId="0" xfId="0" applyFont="true" applyBorder="true" applyAlignment="true" applyProtection="false">
      <alignment horizontal="left" vertical="center" textRotation="0" wrapText="true" indent="0" shrinkToFit="false"/>
      <protection locked="true" hidden="false"/>
    </xf>
    <xf numFmtId="170" fontId="8" fillId="3" borderId="1" xfId="0" applyFont="true" applyBorder="true" applyAlignment="true" applyProtection="false">
      <alignment horizontal="general" vertical="center" textRotation="0" wrapText="true" indent="0" shrinkToFit="false"/>
      <protection locked="true" hidden="false"/>
    </xf>
    <xf numFmtId="164" fontId="26" fillId="3"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xf numFmtId="170" fontId="8" fillId="4" borderId="0" xfId="0" applyFont="true" applyBorder="false" applyAlignment="true" applyProtection="false">
      <alignment horizontal="general" vertical="top" textRotation="0" wrapText="true" indent="0" shrinkToFit="false"/>
      <protection locked="true" hidden="false"/>
    </xf>
    <xf numFmtId="170" fontId="16" fillId="4" borderId="0" xfId="0" applyFont="true" applyBorder="false" applyAlignment="true" applyProtection="false">
      <alignment horizontal="general" vertical="top" textRotation="0" wrapText="true" indent="0" shrinkToFit="false"/>
      <protection locked="true" hidden="false"/>
    </xf>
    <xf numFmtId="173" fontId="7" fillId="0" borderId="0" xfId="0" applyFont="true" applyBorder="false" applyAlignment="true" applyProtection="false">
      <alignment horizontal="general" vertical="bottom" textRotation="0" wrapText="true" indent="0" shrinkToFit="false"/>
      <protection locked="true" hidden="false"/>
    </xf>
    <xf numFmtId="164" fontId="13" fillId="15" borderId="0" xfId="0" applyFont="true" applyBorder="false" applyAlignment="true" applyProtection="false">
      <alignment horizontal="general" vertical="bottom" textRotation="0" wrapText="true" indent="0" shrinkToFit="false"/>
      <protection locked="true" hidden="false"/>
    </xf>
    <xf numFmtId="166" fontId="13" fillId="15" borderId="0" xfId="0" applyFont="true" applyBorder="false" applyAlignment="true" applyProtection="false">
      <alignment horizontal="general" vertical="bottom" textRotation="0" wrapText="true" indent="0" shrinkToFit="false"/>
      <protection locked="true" hidden="false"/>
    </xf>
    <xf numFmtId="170" fontId="17" fillId="4" borderId="0" xfId="0" applyFont="true" applyBorder="false" applyAlignment="true" applyProtection="false">
      <alignment horizontal="general" vertical="top" textRotation="0" wrapText="true" indent="0" shrinkToFit="false"/>
      <protection locked="true" hidden="false"/>
    </xf>
    <xf numFmtId="164" fontId="8" fillId="16" borderId="0" xfId="0" applyFont="true" applyBorder="false" applyAlignment="true" applyProtection="false">
      <alignment horizontal="center" vertical="top" textRotation="0" wrapText="true" indent="0" shrinkToFit="false"/>
      <protection locked="true" hidden="false"/>
    </xf>
    <xf numFmtId="164" fontId="19" fillId="7" borderId="0" xfId="0" applyFont="true" applyBorder="false" applyAlignment="true" applyProtection="false">
      <alignment horizontal="general" vertical="bottom" textRotation="0" wrapText="true" indent="0" shrinkToFit="false"/>
      <protection locked="true" hidden="false"/>
    </xf>
    <xf numFmtId="173" fontId="7"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general" vertical="bottom" textRotation="0" wrapText="false" indent="0" shrinkToFit="false"/>
      <protection locked="true" hidden="false"/>
    </xf>
    <xf numFmtId="164" fontId="31" fillId="3" borderId="0" xfId="0" applyFont="true" applyBorder="false" applyAlignment="true" applyProtection="false">
      <alignment horizontal="general" vertical="bottom" textRotation="0" wrapText="false" indent="0" shrinkToFit="false"/>
      <protection locked="true" hidden="false"/>
    </xf>
    <xf numFmtId="170" fontId="31" fillId="3" borderId="0" xfId="0" applyFont="true" applyBorder="false" applyAlignment="true" applyProtection="false">
      <alignment horizontal="general" vertical="bottom" textRotation="0" wrapText="false" indent="0" shrinkToFit="false"/>
      <protection locked="true" hidden="false"/>
    </xf>
    <xf numFmtId="169" fontId="27" fillId="13" borderId="0" xfId="0" applyFont="true" applyBorder="false" applyAlignment="true" applyProtection="false">
      <alignment horizontal="general" vertical="bottom" textRotation="0" wrapText="false" indent="0" shrinkToFit="false"/>
      <protection locked="true" hidden="false"/>
    </xf>
    <xf numFmtId="174" fontId="27" fillId="13"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7" fontId="27"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general" vertical="bottom" textRotation="0" wrapText="false" indent="0" shrinkToFit="false"/>
      <protection locked="true" hidden="false"/>
    </xf>
    <xf numFmtId="166" fontId="31" fillId="3" borderId="0" xfId="0" applyFont="true" applyBorder="false" applyAlignment="true" applyProtection="false">
      <alignment horizontal="general" vertical="bottom" textRotation="0" wrapText="false" indent="0" shrinkToFit="false"/>
      <protection locked="true" hidden="false"/>
    </xf>
    <xf numFmtId="166" fontId="10" fillId="3"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8" fillId="8" borderId="0" xfId="0" applyFont="true" applyBorder="tru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7" fontId="8" fillId="8" borderId="0" xfId="0" applyFont="true" applyBorder="false" applyAlignment="true" applyProtection="false">
      <alignment horizontal="general" vertical="bottom" textRotation="0" wrapText="false" indent="0" shrinkToFit="false"/>
      <protection locked="true" hidden="false"/>
    </xf>
    <xf numFmtId="166" fontId="17" fillId="13" borderId="0" xfId="0" applyFont="true" applyBorder="false" applyAlignment="true" applyProtection="false">
      <alignment horizontal="general" vertical="top" textRotation="0" wrapText="true" indent="0" shrinkToFit="false"/>
      <protection locked="true" hidden="false"/>
    </xf>
    <xf numFmtId="167" fontId="17" fillId="13" borderId="0" xfId="0" applyFont="true" applyBorder="false" applyAlignment="true" applyProtection="false">
      <alignment horizontal="general" vertical="top" textRotation="0" wrapText="true" indent="0" shrinkToFit="false"/>
      <protection locked="true" hidden="false"/>
    </xf>
    <xf numFmtId="175" fontId="17" fillId="13" borderId="0" xfId="0" applyFont="true" applyBorder="false" applyAlignment="true" applyProtection="false">
      <alignment horizontal="general" vertical="top" textRotation="0" wrapText="true" indent="0" shrinkToFit="false"/>
      <protection locked="true" hidden="false"/>
    </xf>
    <xf numFmtId="167"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7" fontId="9" fillId="13"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70" fontId="17" fillId="0" borderId="0" xfId="0" applyFont="true" applyBorder="false" applyAlignment="true" applyProtection="false">
      <alignment horizontal="general" vertical="bottom" textRotation="0" wrapText="true" indent="0" shrinkToFit="false"/>
      <protection locked="true" hidden="false"/>
    </xf>
    <xf numFmtId="170" fontId="9" fillId="0" borderId="0" xfId="0" applyFont="true" applyBorder="false" applyAlignment="true" applyProtection="false">
      <alignment horizontal="general" vertical="bottom" textRotation="0" wrapText="true" indent="0" shrinkToFit="false"/>
      <protection locked="true" hidden="false"/>
    </xf>
    <xf numFmtId="167" fontId="9"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70" fontId="26" fillId="3" borderId="0" xfId="0" applyFont="true" applyBorder="false" applyAlignment="true" applyProtection="false">
      <alignment horizontal="general" vertical="bottom" textRotation="0" wrapText="true" indent="0" shrinkToFit="false"/>
      <protection locked="true" hidden="false"/>
    </xf>
    <xf numFmtId="170" fontId="8" fillId="3" borderId="0" xfId="0" applyFont="true" applyBorder="false" applyAlignment="true" applyProtection="false">
      <alignment horizontal="general" vertical="bottom" textRotation="0" wrapText="true" indent="0" shrinkToFit="false"/>
      <protection locked="true" hidden="false"/>
    </xf>
    <xf numFmtId="164" fontId="35" fillId="2" borderId="0" xfId="0" applyFont="true" applyBorder="true" applyAlignment="true" applyProtection="false">
      <alignment horizontal="left" vertical="center" textRotation="0" wrapText="true" indent="0" shrinkToFit="false"/>
      <protection locked="true" hidden="false"/>
    </xf>
    <xf numFmtId="166" fontId="17" fillId="0" borderId="0" xfId="0" applyFont="true" applyBorder="false" applyAlignment="true" applyProtection="false">
      <alignment horizontal="general" vertical="bottom" textRotation="0" wrapText="true" indent="0" shrinkToFit="false"/>
      <protection locked="true" hidden="false"/>
    </xf>
    <xf numFmtId="166" fontId="9" fillId="0" borderId="0" xfId="0" applyFont="true" applyBorder="false" applyAlignment="true" applyProtection="false">
      <alignment horizontal="general" vertical="bottom" textRotation="0" wrapText="true" indent="0" shrinkToFit="false"/>
      <protection locked="true" hidden="false"/>
    </xf>
    <xf numFmtId="164" fontId="21" fillId="9" borderId="0" xfId="0" applyFont="true" applyBorder="false" applyAlignment="true" applyProtection="false">
      <alignment horizontal="left" vertical="bottom" textRotation="0" wrapText="true" indent="0" shrinkToFit="false"/>
      <protection locked="true" hidden="false"/>
    </xf>
    <xf numFmtId="166" fontId="8" fillId="9" borderId="0" xfId="0" applyFont="true" applyBorder="false" applyAlignment="true" applyProtection="false">
      <alignment horizontal="left" vertical="bottom" textRotation="0" wrapText="true" indent="0" shrinkToFit="false"/>
      <protection locked="true" hidden="false"/>
    </xf>
    <xf numFmtId="167" fontId="8" fillId="9" borderId="0" xfId="0" applyFont="true" applyBorder="false" applyAlignment="true" applyProtection="false">
      <alignment horizontal="left" vertical="bottom" textRotation="0" wrapText="true" indent="0" shrinkToFit="false"/>
      <protection locked="true" hidden="false"/>
    </xf>
    <xf numFmtId="164" fontId="8" fillId="9" borderId="0" xfId="0" applyFont="true" applyBorder="false" applyAlignment="true" applyProtection="false">
      <alignment horizontal="left" vertical="bottom" textRotation="0" wrapText="true" indent="0" shrinkToFit="false"/>
      <protection locked="true" hidden="false"/>
    </xf>
    <xf numFmtId="164" fontId="8" fillId="9" borderId="0" xfId="0" applyFont="true" applyBorder="false" applyAlignment="true" applyProtection="false">
      <alignment horizontal="center" vertical="center" textRotation="0" wrapText="true" indent="0" shrinkToFit="false"/>
      <protection locked="true" hidden="false"/>
    </xf>
    <xf numFmtId="168" fontId="16" fillId="9" borderId="0" xfId="0" applyFont="true" applyBorder="false" applyAlignment="true" applyProtection="false">
      <alignment horizontal="left" vertical="bottom" textRotation="0" wrapText="true" indent="0" shrinkToFit="false"/>
      <protection locked="true" hidden="false"/>
    </xf>
    <xf numFmtId="164" fontId="35" fillId="9"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7" fillId="0" borderId="0" xfId="0" applyFont="true" applyBorder="false" applyAlignment="true" applyProtection="false">
      <alignment horizontal="general" vertical="top" textRotation="0" wrapText="true" indent="0" shrinkToFit="false"/>
      <protection locked="true" hidden="false"/>
    </xf>
    <xf numFmtId="167" fontId="7" fillId="0" borderId="0" xfId="0" applyFont="true" applyBorder="false" applyAlignment="true" applyProtection="false">
      <alignment horizontal="general" vertical="top" textRotation="0" wrapText="true" indent="0" shrinkToFit="false"/>
      <protection locked="true" hidden="false"/>
    </xf>
    <xf numFmtId="164" fontId="35" fillId="2" borderId="0" xfId="0" applyFont="true" applyBorder="true" applyAlignment="true" applyProtection="false">
      <alignment horizontal="center" vertical="center" textRotation="0" wrapText="true" indent="0" shrinkToFit="false"/>
      <protection locked="true" hidden="false"/>
    </xf>
    <xf numFmtId="164" fontId="36" fillId="3" borderId="0" xfId="0" applyFont="true" applyBorder="true" applyAlignment="true" applyProtection="false">
      <alignment horizontal="general" vertical="bottom" textRotation="0" wrapText="true" indent="0" shrinkToFit="false"/>
      <protection locked="true" hidden="false"/>
    </xf>
    <xf numFmtId="164" fontId="21" fillId="9" borderId="0" xfId="0" applyFont="true" applyBorder="true" applyAlignment="true" applyProtection="false">
      <alignment horizontal="center" vertical="center" textRotation="0" wrapText="true" indent="0" shrinkToFit="false"/>
      <protection locked="true" hidden="false"/>
    </xf>
    <xf numFmtId="164" fontId="21" fillId="9" borderId="0" xfId="0" applyFont="true" applyBorder="false" applyAlignment="true" applyProtection="false">
      <alignment horizontal="general" vertical="bottom" textRotation="0" wrapText="true" indent="0" shrinkToFit="false"/>
      <protection locked="true" hidden="false"/>
    </xf>
    <xf numFmtId="173" fontId="21" fillId="9" borderId="0" xfId="0" applyFont="true" applyBorder="false" applyAlignment="true" applyProtection="false">
      <alignment horizontal="general" vertical="bottom" textRotation="0" wrapText="true" indent="0" shrinkToFit="false"/>
      <protection locked="true" hidden="false"/>
    </xf>
    <xf numFmtId="173" fontId="13" fillId="15" borderId="0" xfId="0" applyFont="true" applyBorder="false" applyAlignment="true" applyProtection="false">
      <alignment horizontal="general" vertical="bottom" textRotation="0" wrapText="true" indent="0" shrinkToFit="false"/>
      <protection locked="true" hidden="false"/>
    </xf>
    <xf numFmtId="173" fontId="21" fillId="9" borderId="0" xfId="0" applyFont="true" applyBorder="false" applyAlignment="true" applyProtection="false">
      <alignment horizontal="center" vertical="center" textRotation="0" wrapText="true" indent="0" shrinkToFit="false"/>
      <protection locked="true" hidden="false"/>
    </xf>
    <xf numFmtId="164" fontId="21" fillId="9" borderId="0" xfId="0" applyFont="true" applyBorder="true" applyAlignment="true" applyProtection="false">
      <alignment horizontal="general" vertical="bottom" textRotation="0" wrapText="true" indent="0" shrinkToFit="false"/>
      <protection locked="true" hidden="false"/>
    </xf>
    <xf numFmtId="164" fontId="35" fillId="2" borderId="0" xfId="0" applyFont="true" applyBorder="true" applyAlignment="true" applyProtection="false">
      <alignment horizontal="center" vertical="bottom" textRotation="0" wrapText="true" indent="0" shrinkToFit="false"/>
      <protection locked="true" hidden="false"/>
    </xf>
    <xf numFmtId="176" fontId="7" fillId="0" borderId="0" xfId="0" applyFont="true" applyBorder="false" applyAlignment="true" applyProtection="false">
      <alignment horizontal="general" vertical="bottom" textRotation="0" wrapText="true" indent="0" shrinkToFit="false"/>
      <protection locked="true" hidden="false"/>
    </xf>
    <xf numFmtId="168" fontId="21" fillId="9" borderId="0" xfId="0" applyFont="true" applyBorder="false" applyAlignment="true" applyProtection="false">
      <alignment horizontal="general" vertical="bottom" textRotation="0" wrapText="true" indent="0" shrinkToFit="false"/>
      <protection locked="true" hidden="false"/>
    </xf>
    <xf numFmtId="164" fontId="7" fillId="17" borderId="0" xfId="0" applyFont="true" applyBorder="false" applyAlignment="true" applyProtection="false">
      <alignment horizontal="general" vertical="bottom" textRotation="0" wrapText="true" indent="0" shrinkToFit="false"/>
      <protection locked="true" hidden="false"/>
    </xf>
    <xf numFmtId="168" fontId="7" fillId="17" borderId="0" xfId="0" applyFont="true" applyBorder="false" applyAlignment="true" applyProtection="false">
      <alignment horizontal="general" vertical="bottom" textRotation="0" wrapText="true" indent="0" shrinkToFit="false"/>
      <protection locked="true" hidden="false"/>
    </xf>
    <xf numFmtId="164" fontId="7" fillId="15" borderId="0" xfId="0" applyFont="true" applyBorder="false" applyAlignment="true" applyProtection="false">
      <alignment horizontal="general" vertical="bottom" textRotation="0" wrapText="true" indent="0" shrinkToFit="false"/>
      <protection locked="true" hidden="false"/>
    </xf>
    <xf numFmtId="168" fontId="7" fillId="15" borderId="0" xfId="0" applyFont="true" applyBorder="false" applyAlignment="true" applyProtection="false">
      <alignment horizontal="general" vertical="bottom" textRotation="0" wrapText="true" indent="0" shrinkToFit="false"/>
      <protection locked="true" hidden="false"/>
    </xf>
    <xf numFmtId="168" fontId="7" fillId="13" borderId="0" xfId="0" applyFont="true" applyBorder="false" applyAlignment="true" applyProtection="false">
      <alignment horizontal="general" vertical="bottom" textRotation="0" wrapText="true" indent="0" shrinkToFit="false"/>
      <protection locked="true" hidden="false"/>
    </xf>
    <xf numFmtId="167" fontId="7" fillId="0" borderId="0" xfId="0" applyFont="true" applyBorder="false" applyAlignment="true" applyProtection="false">
      <alignment horizontal="general" vertical="bottom" textRotation="0" wrapText="true" indent="0" shrinkToFit="false"/>
      <protection locked="true" hidden="false"/>
    </xf>
    <xf numFmtId="168" fontId="13" fillId="15" borderId="0" xfId="0" applyFont="true" applyBorder="false" applyAlignment="true" applyProtection="false">
      <alignment horizontal="general" vertical="bottom" textRotation="0" wrapText="true" indent="0" shrinkToFit="false"/>
      <protection locked="true" hidden="false"/>
    </xf>
    <xf numFmtId="164" fontId="13" fillId="15" borderId="2" xfId="0" applyFont="true" applyBorder="true" applyAlignment="true" applyProtection="false">
      <alignment horizontal="general" vertical="bottom" textRotation="0" wrapText="true" indent="0" shrinkToFit="false"/>
      <protection locked="true" hidden="false"/>
    </xf>
    <xf numFmtId="168" fontId="13" fillId="15" borderId="2" xfId="0" applyFont="true" applyBorder="true" applyAlignment="true" applyProtection="false">
      <alignment horizontal="general" vertical="bottom" textRotation="0" wrapText="true" indent="0" shrinkToFit="false"/>
      <protection locked="true" hidden="false"/>
    </xf>
    <xf numFmtId="164" fontId="35" fillId="2" borderId="0" xfId="0" applyFont="true" applyBorder="true" applyAlignment="true" applyProtection="false">
      <alignment horizontal="center" vertical="center" textRotation="0" wrapText="false" indent="0" shrinkToFit="false"/>
      <protection locked="true" hidden="false"/>
    </xf>
    <xf numFmtId="164" fontId="21" fillId="9" borderId="0" xfId="0" applyFont="true" applyBorder="false" applyAlignment="true" applyProtection="false">
      <alignment horizontal="center" vertical="center" textRotation="0" wrapText="false" indent="0" shrinkToFit="false"/>
      <protection locked="true" hidden="false"/>
    </xf>
    <xf numFmtId="164" fontId="9" fillId="18" borderId="0" xfId="0" applyFont="true" applyBorder="false" applyAlignment="true" applyProtection="false">
      <alignment horizontal="general" vertical="bottom" textRotation="0" wrapText="false" indent="0" shrinkToFit="false"/>
      <protection locked="true" hidden="false"/>
    </xf>
    <xf numFmtId="166" fontId="9" fillId="18" borderId="0" xfId="0" applyFont="true" applyBorder="false" applyAlignment="true" applyProtection="false">
      <alignment horizontal="general" vertical="bottom" textRotation="0" wrapText="false" indent="0" shrinkToFit="false"/>
      <protection locked="true" hidden="false"/>
    </xf>
    <xf numFmtId="164" fontId="8" fillId="3" borderId="2" xfId="0" applyFont="true" applyBorder="true" applyAlignment="true" applyProtection="false">
      <alignment horizontal="general" vertical="bottom" textRotation="0" wrapText="false" indent="0" shrinkToFit="false"/>
      <protection locked="true" hidden="false"/>
    </xf>
    <xf numFmtId="166" fontId="8" fillId="3" borderId="2" xfId="0" applyFont="true" applyBorder="true" applyAlignment="true" applyProtection="false">
      <alignment horizontal="general" vertical="bottom" textRotation="0" wrapText="false" indent="0" shrinkToFit="false"/>
      <protection locked="true" hidden="false"/>
    </xf>
    <xf numFmtId="174" fontId="7" fillId="0" borderId="0" xfId="0" applyFont="true" applyBorder="false" applyAlignment="true" applyProtection="false">
      <alignment horizontal="general" vertical="bottom" textRotation="0" wrapText="true" indent="0" shrinkToFit="false"/>
      <protection locked="true" hidden="false"/>
    </xf>
    <xf numFmtId="177"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FF0000"/>
      </font>
    </dxf>
    <dxf>
      <font>
        <b val="1"/>
        <color rgb="FF006100"/>
      </font>
      <fill>
        <patternFill>
          <bgColor rgb="FFC6EFCE"/>
        </patternFill>
      </fill>
    </dxf>
    <dxf>
      <font>
        <b val="1"/>
        <color rgb="FF9C0006"/>
      </font>
      <fill>
        <patternFill>
          <bgColor rgb="FFFFC7CE"/>
        </patternFill>
      </fill>
    </dxf>
  </dxfs>
  <colors>
    <indexedColors>
      <rgbColor rgb="FF000000"/>
      <rgbColor rgb="FFFFFFFF"/>
      <rgbColor rgb="FFFF0000"/>
      <rgbColor rgb="FF00FF00"/>
      <rgbColor rgb="FF0000FF"/>
      <rgbColor rgb="FFF2F2F2"/>
      <rgbColor rgb="FFFF00FF"/>
      <rgbColor rgb="FF00FFFF"/>
      <rgbColor rgb="FF9C0006"/>
      <rgbColor rgb="FF008000"/>
      <rgbColor rgb="FF000080"/>
      <rgbColor rgb="FF808000"/>
      <rgbColor rgb="FF800080"/>
      <rgbColor rgb="FF008080"/>
      <rgbColor rgb="FFD9EAD3"/>
      <rgbColor rgb="FF7F7F7F"/>
      <rgbColor rgb="FF9999FF"/>
      <rgbColor rgb="FF993366"/>
      <rgbColor rgb="FFFFF2CC"/>
      <rgbColor rgb="FFD9EAF7"/>
      <rgbColor rgb="FF660066"/>
      <rgbColor rgb="FFFF8080"/>
      <rgbColor rgb="FF1F4E78"/>
      <rgbColor rgb="FFE7E6E6"/>
      <rgbColor rgb="FF000080"/>
      <rgbColor rgb="FFFF00FF"/>
      <rgbColor rgb="FFEEF5FB"/>
      <rgbColor rgb="FF00FFFF"/>
      <rgbColor rgb="FF800080"/>
      <rgbColor rgb="FF800000"/>
      <rgbColor rgb="FF008080"/>
      <rgbColor rgb="FF0000FF"/>
      <rgbColor rgb="FF00CCFF"/>
      <rgbColor rgb="FFDDEBF7"/>
      <rgbColor rgb="FFC6EFCE"/>
      <rgbColor rgb="FFE2F0D9"/>
      <rgbColor rgb="FFEAF2F8"/>
      <rgbColor rgb="FFFCE4D6"/>
      <rgbColor rgb="FFFCE8E6"/>
      <rgbColor rgb="FFFFC7CE"/>
      <rgbColor rgb="FF3366FF"/>
      <rgbColor rgb="FF33CCCC"/>
      <rgbColor rgb="FF99CC00"/>
      <rgbColor rgb="FFFFCC00"/>
      <rgbColor rgb="FFFF9900"/>
      <rgbColor rgb="FFFF6600"/>
      <rgbColor rgb="FF2F5597"/>
      <rgbColor rgb="FF969696"/>
      <rgbColor rgb="FF17365D"/>
      <rgbColor rgb="FF339966"/>
      <rgbColor rgb="FF006100"/>
      <rgbColor rgb="FF1F1F1F"/>
      <rgbColor rgb="FF993300"/>
      <rgbColor rgb="FF993366"/>
      <rgbColor rgb="FF1E3A5F"/>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7.xml.rels><?xml version="1.0" encoding="UTF-8"?>
<Relationships xmlns="http://schemas.openxmlformats.org/package/2006/relationships"><Relationship Id="rId1" Type="http://schemas.openxmlformats.org/officeDocument/2006/relationships/comments" Target="../comments37.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90"/>
  </cols>
  <sheetData>
    <row r="1" customFormat="false" ht="27.75" hidden="false" customHeight="true" outlineLevel="0" collapsed="false">
      <c r="A1" s="2" t="s">
        <v>0</v>
      </c>
      <c r="B1" s="2"/>
      <c r="C1" s="3"/>
      <c r="D1" s="3"/>
      <c r="E1" s="3"/>
      <c r="F1" s="3"/>
      <c r="G1" s="3"/>
      <c r="H1" s="3"/>
      <c r="I1" s="4"/>
      <c r="J1" s="4"/>
      <c r="K1" s="4"/>
    </row>
    <row r="2" customFormat="false" ht="24" hidden="false" customHeight="true" outlineLevel="0" collapsed="false">
      <c r="A2" s="5" t="s">
        <v>1</v>
      </c>
      <c r="B2" s="6"/>
      <c r="C2" s="4"/>
      <c r="D2" s="4"/>
      <c r="E2" s="4"/>
      <c r="F2" s="4"/>
      <c r="G2" s="4"/>
      <c r="H2" s="4"/>
      <c r="I2" s="4"/>
      <c r="J2" s="4"/>
      <c r="K2" s="4"/>
    </row>
    <row r="3" customFormat="false" ht="26.25" hidden="false" customHeight="true" outlineLevel="0" collapsed="false">
      <c r="A3" s="7" t="s">
        <v>2</v>
      </c>
      <c r="B3" s="8" t="s">
        <v>3</v>
      </c>
      <c r="C3" s="4"/>
      <c r="D3" s="4"/>
      <c r="E3" s="4"/>
      <c r="F3" s="4"/>
      <c r="G3" s="4"/>
      <c r="H3" s="4"/>
      <c r="I3" s="4"/>
      <c r="J3" s="4"/>
      <c r="K3" s="4"/>
    </row>
    <row r="4" customFormat="false" ht="26.25" hidden="false" customHeight="true" outlineLevel="0" collapsed="false">
      <c r="A4" s="7" t="s">
        <v>4</v>
      </c>
      <c r="B4" s="8" t="s">
        <v>5</v>
      </c>
      <c r="C4" s="4"/>
      <c r="D4" s="4"/>
      <c r="E4" s="4"/>
      <c r="F4" s="4"/>
      <c r="G4" s="4"/>
      <c r="H4" s="4"/>
      <c r="I4" s="4"/>
      <c r="J4" s="4"/>
      <c r="K4" s="4"/>
    </row>
    <row r="5" customFormat="false" ht="15" hidden="false" customHeight="true" outlineLevel="0" collapsed="false">
      <c r="A5" s="7" t="s">
        <v>6</v>
      </c>
      <c r="B5" s="8" t="s">
        <v>7</v>
      </c>
      <c r="C5" s="4"/>
      <c r="D5" s="4"/>
      <c r="E5" s="4"/>
      <c r="F5" s="4"/>
      <c r="G5" s="4"/>
      <c r="H5" s="4"/>
      <c r="I5" s="4"/>
      <c r="J5" s="4"/>
      <c r="K5" s="4"/>
    </row>
    <row r="6" customFormat="false" ht="26.25" hidden="false" customHeight="true" outlineLevel="0" collapsed="false">
      <c r="A6" s="7" t="s">
        <v>8</v>
      </c>
      <c r="B6" s="8" t="s">
        <v>9</v>
      </c>
      <c r="C6" s="4"/>
      <c r="D6" s="4"/>
      <c r="E6" s="4"/>
      <c r="F6" s="4"/>
      <c r="G6" s="4"/>
      <c r="H6" s="4"/>
      <c r="I6" s="4"/>
      <c r="J6" s="4"/>
      <c r="K6" s="4"/>
    </row>
    <row r="7" customFormat="false" ht="26.25" hidden="false" customHeight="true" outlineLevel="0" collapsed="false">
      <c r="A7" s="7" t="s">
        <v>10</v>
      </c>
      <c r="B7" s="8" t="s">
        <v>11</v>
      </c>
      <c r="C7" s="4"/>
      <c r="D7" s="4"/>
      <c r="E7" s="4"/>
      <c r="F7" s="4"/>
      <c r="G7" s="4"/>
      <c r="H7" s="4"/>
      <c r="I7" s="4"/>
      <c r="J7" s="4"/>
      <c r="K7" s="4"/>
    </row>
    <row r="8" customFormat="false" ht="15" hidden="false" customHeight="true" outlineLevel="0" collapsed="false">
      <c r="A8" s="7" t="s">
        <v>12</v>
      </c>
      <c r="B8" s="8" t="s">
        <v>13</v>
      </c>
      <c r="C8" s="4"/>
      <c r="D8" s="4"/>
      <c r="E8" s="4"/>
      <c r="F8" s="4"/>
      <c r="G8" s="4"/>
      <c r="H8" s="4"/>
      <c r="I8" s="4"/>
      <c r="J8" s="4"/>
      <c r="K8" s="4"/>
    </row>
    <row r="9" customFormat="false" ht="15" hidden="false" customHeight="true" outlineLevel="0" collapsed="false">
      <c r="A9" s="7" t="s">
        <v>14</v>
      </c>
      <c r="B9" s="8" t="s">
        <v>15</v>
      </c>
      <c r="C9" s="4"/>
      <c r="D9" s="4"/>
      <c r="E9" s="4"/>
      <c r="F9" s="4"/>
      <c r="G9" s="4"/>
      <c r="H9" s="4"/>
      <c r="I9" s="4"/>
      <c r="J9" s="4"/>
      <c r="K9" s="4"/>
    </row>
    <row r="10" customFormat="false" ht="15" hidden="false" customHeight="true" outlineLevel="0" collapsed="false">
      <c r="A10" s="7" t="s">
        <v>16</v>
      </c>
      <c r="B10" s="8" t="s">
        <v>17</v>
      </c>
      <c r="C10" s="4"/>
      <c r="D10" s="4"/>
      <c r="E10" s="4"/>
      <c r="F10" s="4"/>
      <c r="G10" s="4"/>
      <c r="H10" s="4"/>
      <c r="I10" s="4"/>
      <c r="J10" s="4"/>
      <c r="K10" s="4"/>
    </row>
    <row r="11" customFormat="false" ht="15" hidden="false" customHeight="true" outlineLevel="0" collapsed="false">
      <c r="A11" s="7" t="s">
        <v>18</v>
      </c>
      <c r="B11" s="8" t="s">
        <v>19</v>
      </c>
      <c r="C11" s="4"/>
      <c r="D11" s="4"/>
      <c r="E11" s="4"/>
      <c r="F11" s="4"/>
      <c r="G11" s="4"/>
      <c r="H11" s="4"/>
      <c r="I11" s="4"/>
      <c r="J11" s="4"/>
      <c r="K11" s="4"/>
    </row>
    <row r="12" customFormat="false" ht="26.25" hidden="false" customHeight="true" outlineLevel="0" collapsed="false">
      <c r="A12" s="7" t="s">
        <v>20</v>
      </c>
      <c r="B12" s="8" t="s">
        <v>21</v>
      </c>
      <c r="C12" s="4"/>
      <c r="D12" s="4"/>
      <c r="E12" s="4"/>
      <c r="F12" s="4"/>
      <c r="G12" s="4"/>
      <c r="H12" s="4"/>
      <c r="I12" s="4"/>
      <c r="J12" s="4"/>
      <c r="K12" s="4"/>
    </row>
    <row r="13" customFormat="false" ht="15" hidden="false" customHeight="true" outlineLevel="0" collapsed="false">
      <c r="A13" s="7" t="s">
        <v>22</v>
      </c>
      <c r="B13" s="8" t="s">
        <v>23</v>
      </c>
      <c r="C13" s="4"/>
      <c r="D13" s="4"/>
      <c r="E13" s="4"/>
      <c r="F13" s="4"/>
      <c r="G13" s="4"/>
      <c r="H13" s="4"/>
      <c r="I13" s="4"/>
      <c r="J13" s="4"/>
      <c r="K13" s="4"/>
    </row>
    <row r="14" customFormat="false" ht="26.25" hidden="false" customHeight="true" outlineLevel="0" collapsed="false">
      <c r="A14" s="7" t="s">
        <v>24</v>
      </c>
      <c r="B14" s="8" t="s">
        <v>25</v>
      </c>
      <c r="C14" s="4"/>
      <c r="D14" s="4"/>
      <c r="E14" s="4"/>
      <c r="F14" s="4"/>
      <c r="G14" s="4"/>
      <c r="H14" s="4"/>
      <c r="I14" s="4"/>
      <c r="J14" s="4"/>
      <c r="K14" s="4"/>
    </row>
    <row r="15" customFormat="false" ht="26.25" hidden="false" customHeight="true" outlineLevel="0" collapsed="false">
      <c r="A15" s="7" t="s">
        <v>26</v>
      </c>
      <c r="B15" s="8" t="s">
        <v>27</v>
      </c>
      <c r="C15" s="4"/>
      <c r="D15" s="4"/>
      <c r="E15" s="4"/>
      <c r="F15" s="4"/>
      <c r="G15" s="4"/>
      <c r="H15" s="4"/>
      <c r="I15" s="4"/>
      <c r="J15" s="4"/>
      <c r="K15" s="4"/>
    </row>
    <row r="16" customFormat="false" ht="15" hidden="false" customHeight="true" outlineLevel="0" collapsed="false">
      <c r="A16" s="7" t="s">
        <v>28</v>
      </c>
      <c r="B16" s="8" t="s">
        <v>29</v>
      </c>
      <c r="C16" s="4"/>
      <c r="D16" s="4"/>
      <c r="E16" s="4"/>
      <c r="F16" s="4"/>
      <c r="G16" s="4"/>
      <c r="H16" s="4"/>
      <c r="I16" s="4"/>
      <c r="J16" s="4"/>
      <c r="K16" s="4"/>
    </row>
    <row r="17" customFormat="false" ht="15" hidden="false" customHeight="true" outlineLevel="0" collapsed="false">
      <c r="A17" s="7" t="s">
        <v>30</v>
      </c>
      <c r="B17" s="8" t="s">
        <v>31</v>
      </c>
      <c r="C17" s="4"/>
      <c r="D17" s="4"/>
      <c r="E17" s="4"/>
      <c r="F17" s="4"/>
      <c r="G17" s="4"/>
      <c r="H17" s="4"/>
      <c r="I17" s="4"/>
      <c r="J17" s="4"/>
      <c r="K17" s="4"/>
    </row>
    <row r="18" customFormat="false" ht="15" hidden="false" customHeight="true" outlineLevel="0" collapsed="false">
      <c r="A18" s="5" t="s">
        <v>32</v>
      </c>
      <c r="B18" s="6" t="s">
        <v>33</v>
      </c>
      <c r="C18" s="4"/>
      <c r="D18" s="4"/>
      <c r="E18" s="4"/>
      <c r="F18" s="4"/>
      <c r="G18" s="4"/>
      <c r="H18" s="4"/>
      <c r="I18" s="4"/>
      <c r="J18" s="4"/>
      <c r="K18" s="4"/>
    </row>
    <row r="19" customFormat="false" ht="15" hidden="false" customHeight="true" outlineLevel="0" collapsed="false">
      <c r="A19" s="9" t="s">
        <v>34</v>
      </c>
      <c r="B19" s="6" t="s">
        <v>35</v>
      </c>
      <c r="C19" s="4"/>
      <c r="D19" s="4"/>
      <c r="E19" s="4"/>
      <c r="F19" s="4"/>
      <c r="G19" s="4"/>
      <c r="H19" s="4"/>
      <c r="I19" s="4"/>
      <c r="J19" s="4"/>
      <c r="K19" s="4"/>
    </row>
    <row r="20" customFormat="false" ht="24" hidden="false" customHeight="true" outlineLevel="0" collapsed="false">
      <c r="A20" s="5"/>
      <c r="B20" s="6"/>
      <c r="C20" s="4"/>
      <c r="D20" s="4"/>
      <c r="E20" s="4"/>
      <c r="F20" s="4"/>
      <c r="G20" s="4"/>
      <c r="H20" s="4"/>
      <c r="I20" s="4"/>
      <c r="J20" s="4"/>
      <c r="K20" s="4"/>
    </row>
    <row r="21" customFormat="false" ht="15" hidden="false" customHeight="true" outlineLevel="0" collapsed="false">
      <c r="A21" s="10"/>
      <c r="B21" s="11"/>
      <c r="C21" s="4"/>
      <c r="D21" s="4"/>
      <c r="E21" s="4"/>
      <c r="F21" s="4"/>
      <c r="G21" s="4"/>
      <c r="H21" s="4"/>
      <c r="I21" s="4"/>
      <c r="J21" s="4"/>
      <c r="K21" s="4"/>
    </row>
    <row r="22" customFormat="false" ht="15" hidden="false" customHeight="true" outlineLevel="0" collapsed="false">
      <c r="A22" s="10"/>
      <c r="B22" s="11"/>
      <c r="C22" s="4"/>
      <c r="D22" s="4"/>
      <c r="E22" s="4"/>
      <c r="F22" s="4"/>
      <c r="G22" s="4"/>
      <c r="H22" s="4"/>
      <c r="I22" s="4"/>
      <c r="J22" s="4"/>
      <c r="K22" s="4"/>
    </row>
    <row r="23" customFormat="false" ht="15" hidden="false" customHeight="true" outlineLevel="0" collapsed="false">
      <c r="A23" s="10"/>
      <c r="B23" s="11"/>
      <c r="C23" s="4"/>
      <c r="D23" s="4"/>
      <c r="E23" s="4"/>
      <c r="F23" s="4"/>
      <c r="G23" s="4"/>
      <c r="H23" s="4"/>
      <c r="I23" s="4"/>
      <c r="J23" s="4"/>
      <c r="K23" s="4"/>
    </row>
    <row r="24" customFormat="false" ht="15" hidden="false" customHeight="true" outlineLevel="0" collapsed="false">
      <c r="A24" s="10"/>
      <c r="B24" s="11"/>
      <c r="C24" s="4"/>
      <c r="D24" s="4"/>
      <c r="E24" s="4"/>
      <c r="F24" s="4"/>
      <c r="G24" s="4"/>
      <c r="H24" s="4"/>
      <c r="I24" s="4"/>
      <c r="J24" s="4"/>
      <c r="K24" s="4"/>
    </row>
    <row r="25" customFormat="false" ht="15" hidden="false" customHeight="true" outlineLevel="0" collapsed="false">
      <c r="A25" s="4"/>
      <c r="B25" s="4"/>
      <c r="C25" s="4"/>
      <c r="D25" s="4"/>
      <c r="E25" s="4"/>
      <c r="F25" s="4"/>
      <c r="G25" s="4"/>
      <c r="H25" s="4"/>
      <c r="I25" s="4"/>
      <c r="J25" s="4"/>
      <c r="K25" s="4"/>
    </row>
    <row r="26" customFormat="false" ht="15" hidden="false" customHeight="true" outlineLevel="0" collapsed="false">
      <c r="A26" s="4"/>
      <c r="B26" s="4"/>
      <c r="C26" s="4"/>
      <c r="D26" s="4"/>
      <c r="E26" s="4"/>
      <c r="F26" s="4"/>
      <c r="G26" s="4"/>
      <c r="H26" s="4"/>
      <c r="I26" s="4"/>
      <c r="J26" s="4"/>
      <c r="K26" s="4"/>
    </row>
    <row r="27" customFormat="false" ht="15" hidden="false" customHeight="true" outlineLevel="0" collapsed="false">
      <c r="A27" s="4"/>
      <c r="B27" s="4"/>
      <c r="C27" s="4"/>
      <c r="D27" s="4"/>
      <c r="E27" s="4"/>
      <c r="F27" s="4"/>
      <c r="G27" s="4"/>
      <c r="H27" s="4"/>
      <c r="I27" s="4"/>
      <c r="J27" s="4"/>
      <c r="K27" s="4"/>
    </row>
    <row r="28" customFormat="false" ht="15" hidden="false" customHeight="true" outlineLevel="0" collapsed="false">
      <c r="A28" s="4"/>
      <c r="B28" s="4"/>
      <c r="C28" s="4"/>
      <c r="D28" s="4"/>
      <c r="E28" s="4"/>
      <c r="F28" s="4"/>
      <c r="G28" s="4"/>
      <c r="H28" s="4"/>
      <c r="I28" s="4"/>
      <c r="J28" s="4"/>
      <c r="K28" s="4"/>
    </row>
    <row r="29" customFormat="false" ht="15" hidden="false" customHeight="true" outlineLevel="0" collapsed="false">
      <c r="A29" s="4"/>
      <c r="B29" s="4"/>
      <c r="C29" s="4"/>
      <c r="D29" s="4"/>
      <c r="E29" s="4"/>
      <c r="F29" s="4"/>
      <c r="G29" s="4"/>
      <c r="H29" s="4"/>
      <c r="I29" s="4"/>
      <c r="J29" s="4"/>
      <c r="K29" s="4"/>
    </row>
    <row r="30" customFormat="false" ht="15" hidden="false" customHeight="true" outlineLevel="0" collapsed="false">
      <c r="A30" s="4"/>
      <c r="B30" s="4"/>
      <c r="C30" s="4"/>
      <c r="D30" s="4"/>
      <c r="E30" s="4"/>
      <c r="F30" s="4"/>
      <c r="G30" s="4"/>
      <c r="H30" s="4"/>
      <c r="I30" s="4"/>
      <c r="J30" s="4"/>
      <c r="K30" s="4"/>
    </row>
    <row r="31" customFormat="false" ht="15" hidden="false" customHeight="true" outlineLevel="0" collapsed="false">
      <c r="A31" s="4"/>
      <c r="B31" s="4"/>
      <c r="C31" s="4"/>
      <c r="D31" s="4"/>
      <c r="E31" s="4"/>
      <c r="F31" s="4"/>
      <c r="G31" s="4"/>
      <c r="H31" s="4"/>
      <c r="I31" s="4"/>
      <c r="J31" s="4"/>
      <c r="K31" s="4"/>
    </row>
    <row r="32" customFormat="false" ht="15" hidden="false" customHeight="true" outlineLevel="0" collapsed="false">
      <c r="A32" s="4"/>
      <c r="B32" s="4"/>
      <c r="C32" s="4"/>
      <c r="D32" s="4"/>
      <c r="E32" s="4"/>
      <c r="F32" s="4"/>
      <c r="G32" s="4"/>
      <c r="H32" s="4"/>
      <c r="I32" s="4"/>
      <c r="J32" s="4"/>
      <c r="K32" s="4"/>
    </row>
    <row r="33" customFormat="false" ht="15" hidden="false" customHeight="true" outlineLevel="0" collapsed="false">
      <c r="A33" s="4"/>
      <c r="B33" s="4"/>
      <c r="C33" s="4"/>
      <c r="D33" s="4"/>
      <c r="E33" s="4"/>
      <c r="F33" s="4"/>
      <c r="G33" s="4"/>
      <c r="H33" s="4"/>
      <c r="I33" s="4"/>
      <c r="J33" s="4"/>
      <c r="K33" s="4"/>
    </row>
    <row r="34" customFormat="false" ht="15" hidden="false" customHeight="true" outlineLevel="0" collapsed="false">
      <c r="A34" s="4"/>
      <c r="B34" s="4"/>
      <c r="C34" s="4"/>
      <c r="D34" s="4"/>
      <c r="E34" s="4"/>
      <c r="F34" s="4"/>
      <c r="G34" s="4"/>
      <c r="H34" s="4"/>
      <c r="I34" s="4"/>
      <c r="J34" s="4"/>
      <c r="K34" s="4"/>
    </row>
    <row r="35" customFormat="false" ht="15" hidden="false" customHeight="true" outlineLevel="0" collapsed="false">
      <c r="A35" s="4"/>
      <c r="B35" s="4"/>
      <c r="C35" s="4"/>
      <c r="D35" s="4"/>
      <c r="E35" s="4"/>
      <c r="F35" s="4"/>
      <c r="G35" s="4"/>
      <c r="H35" s="4"/>
      <c r="I35" s="4"/>
      <c r="J35" s="4"/>
      <c r="K35" s="4"/>
    </row>
    <row r="36" customFormat="false" ht="15" hidden="false" customHeight="true" outlineLevel="0" collapsed="false">
      <c r="A36" s="4"/>
      <c r="B36" s="4"/>
      <c r="C36" s="4"/>
      <c r="D36" s="4"/>
      <c r="E36" s="4"/>
      <c r="F36" s="4"/>
      <c r="G36" s="4"/>
      <c r="H36" s="4"/>
      <c r="I36" s="4"/>
      <c r="J36" s="4"/>
      <c r="K36" s="4"/>
    </row>
    <row r="37" customFormat="false" ht="15" hidden="false" customHeight="true" outlineLevel="0" collapsed="false">
      <c r="A37" s="4"/>
      <c r="B37" s="4"/>
      <c r="C37" s="4"/>
      <c r="D37" s="4"/>
      <c r="E37" s="4"/>
      <c r="F37" s="4"/>
      <c r="G37" s="4"/>
      <c r="H37" s="4"/>
      <c r="I37" s="4"/>
      <c r="J37" s="4"/>
      <c r="K37" s="4"/>
    </row>
    <row r="38" customFormat="false" ht="15" hidden="false" customHeight="true" outlineLevel="0" collapsed="false">
      <c r="A38" s="4"/>
      <c r="B38" s="4"/>
      <c r="C38" s="4"/>
      <c r="D38" s="4"/>
      <c r="E38" s="4"/>
      <c r="F38" s="4"/>
      <c r="G38" s="4"/>
      <c r="H38" s="4"/>
      <c r="I38" s="4"/>
      <c r="J38" s="4"/>
      <c r="K38" s="4"/>
    </row>
    <row r="39" customFormat="false" ht="15" hidden="false" customHeight="true" outlineLevel="0" collapsed="false">
      <c r="A39" s="4"/>
      <c r="B39" s="4"/>
      <c r="C39" s="4"/>
      <c r="D39" s="4"/>
      <c r="E39" s="4"/>
      <c r="F39" s="4"/>
      <c r="G39" s="4"/>
      <c r="H39" s="4"/>
      <c r="I39" s="4"/>
      <c r="J39" s="4"/>
      <c r="K39" s="4"/>
    </row>
    <row r="40" customFormat="false" ht="15" hidden="false" customHeight="true" outlineLevel="0" collapsed="false">
      <c r="A40" s="4"/>
      <c r="B40" s="4"/>
      <c r="C40" s="4"/>
      <c r="D40" s="4"/>
      <c r="E40" s="4"/>
      <c r="F40" s="4"/>
      <c r="G40" s="4"/>
      <c r="H40" s="4"/>
      <c r="I40" s="4"/>
      <c r="J40" s="4"/>
      <c r="K40" s="4"/>
    </row>
    <row r="41" customFormat="false" ht="15" hidden="false" customHeight="true" outlineLevel="0" collapsed="false">
      <c r="A41" s="4"/>
      <c r="B41" s="4"/>
      <c r="C41" s="4"/>
      <c r="D41" s="4"/>
      <c r="E41" s="4"/>
      <c r="F41" s="4"/>
      <c r="G41" s="4"/>
      <c r="H41" s="4"/>
      <c r="I41" s="4"/>
      <c r="J41" s="4"/>
      <c r="K41" s="4"/>
    </row>
    <row r="42" customFormat="false" ht="15" hidden="false" customHeight="true" outlineLevel="0" collapsed="false">
      <c r="A42" s="4"/>
      <c r="B42" s="4"/>
      <c r="C42" s="4"/>
      <c r="D42" s="4"/>
      <c r="E42" s="4"/>
      <c r="F42" s="4"/>
      <c r="G42" s="4"/>
      <c r="H42" s="4"/>
      <c r="I42" s="4"/>
      <c r="J42" s="4"/>
      <c r="K42" s="4"/>
    </row>
    <row r="43" customFormat="false" ht="15" hidden="false" customHeight="true" outlineLevel="0" collapsed="false">
      <c r="A43" s="4"/>
      <c r="B43" s="4"/>
      <c r="C43" s="4"/>
      <c r="D43" s="4"/>
      <c r="E43" s="4"/>
      <c r="F43" s="4"/>
      <c r="G43" s="4"/>
      <c r="H43" s="4"/>
      <c r="I43" s="4"/>
      <c r="J43" s="4"/>
      <c r="K43" s="4"/>
    </row>
    <row r="44" customFormat="false" ht="15" hidden="false" customHeight="true" outlineLevel="0" collapsed="false">
      <c r="A44" s="4"/>
      <c r="B44" s="4"/>
      <c r="C44" s="4"/>
      <c r="D44" s="4"/>
      <c r="E44" s="4"/>
      <c r="F44" s="4"/>
      <c r="G44" s="4"/>
      <c r="H44" s="4"/>
      <c r="I44" s="4"/>
      <c r="J44" s="4"/>
      <c r="K44" s="4"/>
    </row>
    <row r="45" customFormat="false" ht="15" hidden="false" customHeight="true" outlineLevel="0" collapsed="false">
      <c r="A45" s="4"/>
      <c r="B45" s="4"/>
      <c r="C45" s="4"/>
      <c r="D45" s="4"/>
      <c r="E45" s="4"/>
      <c r="F45" s="4"/>
      <c r="G45" s="4"/>
      <c r="H45" s="4"/>
      <c r="I45" s="4"/>
      <c r="J45" s="4"/>
      <c r="K45" s="4"/>
    </row>
    <row r="46" customFormat="false" ht="15" hidden="false" customHeight="true" outlineLevel="0" collapsed="false">
      <c r="A46" s="4"/>
      <c r="B46" s="4"/>
      <c r="C46" s="4"/>
      <c r="D46" s="4"/>
      <c r="E46" s="4"/>
      <c r="F46" s="4"/>
      <c r="G46" s="4"/>
      <c r="H46" s="4"/>
      <c r="I46" s="4"/>
      <c r="J46" s="4"/>
      <c r="K46" s="4"/>
    </row>
    <row r="47" customFormat="false" ht="15" hidden="false" customHeight="true" outlineLevel="0" collapsed="false">
      <c r="A47" s="4"/>
      <c r="B47" s="4"/>
      <c r="C47" s="4"/>
      <c r="D47" s="4"/>
      <c r="E47" s="4"/>
      <c r="F47" s="4"/>
      <c r="G47" s="4"/>
      <c r="H47" s="4"/>
      <c r="I47" s="4"/>
      <c r="J47" s="4"/>
      <c r="K47" s="4"/>
    </row>
    <row r="48" customFormat="false" ht="15" hidden="false" customHeight="true" outlineLevel="0" collapsed="false">
      <c r="A48" s="4"/>
      <c r="B48" s="4"/>
      <c r="C48" s="4"/>
      <c r="D48" s="4"/>
      <c r="E48" s="4"/>
      <c r="F48" s="4"/>
      <c r="G48" s="4"/>
      <c r="H48" s="4"/>
      <c r="I48" s="4"/>
      <c r="J48" s="4"/>
      <c r="K48" s="4"/>
    </row>
    <row r="49" customFormat="false" ht="15" hidden="false" customHeight="true" outlineLevel="0" collapsed="false">
      <c r="A49" s="4"/>
      <c r="B49" s="4"/>
      <c r="C49" s="4"/>
      <c r="D49" s="4"/>
      <c r="E49" s="4"/>
      <c r="F49" s="4"/>
      <c r="G49" s="4"/>
      <c r="H49" s="4"/>
      <c r="I49" s="4"/>
      <c r="J49" s="4"/>
      <c r="K49" s="4"/>
    </row>
    <row r="50" customFormat="false" ht="15" hidden="false" customHeight="true" outlineLevel="0" collapsed="false">
      <c r="A50" s="4"/>
      <c r="B50" s="4"/>
      <c r="C50" s="4"/>
      <c r="D50" s="4"/>
      <c r="E50" s="4"/>
      <c r="F50" s="4"/>
      <c r="G50" s="4"/>
      <c r="H50" s="4"/>
      <c r="I50" s="4"/>
      <c r="J50" s="4"/>
      <c r="K50" s="4"/>
    </row>
    <row r="51" customFormat="false" ht="15" hidden="false" customHeight="true" outlineLevel="0" collapsed="false">
      <c r="A51" s="4"/>
      <c r="B51" s="4"/>
      <c r="C51" s="4"/>
      <c r="D51" s="4"/>
      <c r="E51" s="4"/>
      <c r="F51" s="4"/>
      <c r="G51" s="4"/>
      <c r="H51" s="4"/>
      <c r="I51" s="4"/>
      <c r="J51" s="4"/>
      <c r="K51" s="4"/>
    </row>
    <row r="52" customFormat="false" ht="15" hidden="false" customHeight="true" outlineLevel="0" collapsed="false">
      <c r="A52" s="4"/>
      <c r="B52" s="4"/>
      <c r="C52" s="4"/>
      <c r="D52" s="4"/>
      <c r="E52" s="4"/>
      <c r="F52" s="4"/>
      <c r="G52" s="4"/>
      <c r="H52" s="4"/>
      <c r="I52" s="4"/>
      <c r="J52" s="4"/>
      <c r="K52" s="4"/>
    </row>
    <row r="53" customFormat="false" ht="15" hidden="false" customHeight="true" outlineLevel="0" collapsed="false">
      <c r="A53" s="4"/>
      <c r="B53" s="4"/>
      <c r="C53" s="4"/>
      <c r="D53" s="4"/>
      <c r="E53" s="4"/>
      <c r="F53" s="4"/>
      <c r="G53" s="4"/>
      <c r="H53" s="4"/>
      <c r="I53" s="4"/>
      <c r="J53" s="4"/>
      <c r="K53" s="4"/>
    </row>
    <row r="54" customFormat="false" ht="15" hidden="false" customHeight="true" outlineLevel="0" collapsed="false">
      <c r="A54" s="4"/>
      <c r="B54" s="4"/>
      <c r="C54" s="4"/>
      <c r="D54" s="4"/>
      <c r="E54" s="4"/>
      <c r="F54" s="4"/>
      <c r="G54" s="4"/>
      <c r="H54" s="4"/>
      <c r="I54" s="4"/>
      <c r="J54" s="4"/>
      <c r="K54" s="4"/>
    </row>
    <row r="55" customFormat="false" ht="15" hidden="false" customHeight="true" outlineLevel="0" collapsed="false">
      <c r="A55" s="4"/>
      <c r="B55" s="4"/>
      <c r="C55" s="4"/>
      <c r="D55" s="4"/>
      <c r="E55" s="4"/>
      <c r="F55" s="4"/>
      <c r="G55" s="4"/>
      <c r="H55" s="4"/>
      <c r="I55" s="4"/>
      <c r="J55" s="4"/>
      <c r="K55" s="4"/>
    </row>
    <row r="56" customFormat="false" ht="15" hidden="false" customHeight="true" outlineLevel="0" collapsed="false">
      <c r="A56" s="4"/>
      <c r="B56" s="4"/>
      <c r="C56" s="4"/>
      <c r="D56" s="4"/>
      <c r="E56" s="4"/>
      <c r="F56" s="4"/>
      <c r="G56" s="4"/>
      <c r="H56" s="4"/>
      <c r="I56" s="4"/>
      <c r="J56" s="4"/>
      <c r="K56" s="4"/>
    </row>
    <row r="57" customFormat="false" ht="15" hidden="false" customHeight="true" outlineLevel="0" collapsed="false">
      <c r="A57" s="4"/>
      <c r="B57" s="4"/>
      <c r="C57" s="4"/>
      <c r="D57" s="4"/>
      <c r="E57" s="4"/>
      <c r="F57" s="4"/>
      <c r="G57" s="4"/>
      <c r="H57" s="4"/>
      <c r="I57" s="4"/>
      <c r="J57" s="4"/>
      <c r="K57" s="4"/>
    </row>
    <row r="58" customFormat="false" ht="15" hidden="false" customHeight="true" outlineLevel="0" collapsed="false">
      <c r="A58" s="4"/>
      <c r="B58" s="4"/>
      <c r="C58" s="4"/>
      <c r="D58" s="4"/>
      <c r="E58" s="4"/>
      <c r="F58" s="4"/>
      <c r="G58" s="4"/>
      <c r="H58" s="4"/>
      <c r="I58" s="4"/>
      <c r="J58" s="4"/>
      <c r="K58" s="4"/>
    </row>
    <row r="59" customFormat="false" ht="15" hidden="false" customHeight="true" outlineLevel="0" collapsed="false">
      <c r="A59" s="4"/>
      <c r="B59" s="4"/>
      <c r="C59" s="4"/>
      <c r="D59" s="4"/>
      <c r="E59" s="4"/>
      <c r="F59" s="4"/>
      <c r="G59" s="4"/>
      <c r="H59" s="4"/>
      <c r="I59" s="4"/>
      <c r="J59" s="4"/>
      <c r="K59" s="4"/>
    </row>
    <row r="60" customFormat="false" ht="15" hidden="false" customHeight="true" outlineLevel="0" collapsed="false">
      <c r="A60" s="4"/>
      <c r="B60" s="4"/>
      <c r="C60" s="4"/>
      <c r="D60" s="4"/>
      <c r="E60" s="4"/>
      <c r="F60" s="4"/>
      <c r="G60" s="4"/>
      <c r="H60" s="4"/>
      <c r="I60" s="4"/>
      <c r="J60" s="4"/>
      <c r="K60" s="4"/>
    </row>
    <row r="61" customFormat="false" ht="15" hidden="false" customHeight="true" outlineLevel="0" collapsed="false">
      <c r="A61" s="4"/>
      <c r="B61" s="4"/>
      <c r="C61" s="4"/>
      <c r="D61" s="4"/>
      <c r="E61" s="4"/>
      <c r="F61" s="4"/>
      <c r="G61" s="4"/>
      <c r="H61" s="4"/>
      <c r="I61" s="4"/>
      <c r="J61" s="4"/>
      <c r="K61" s="4"/>
    </row>
    <row r="62" customFormat="false" ht="15" hidden="false" customHeight="true" outlineLevel="0" collapsed="false">
      <c r="A62" s="4"/>
      <c r="B62" s="4"/>
      <c r="C62" s="4"/>
      <c r="D62" s="4"/>
      <c r="E62" s="4"/>
      <c r="F62" s="4"/>
      <c r="G62" s="4"/>
      <c r="H62" s="4"/>
      <c r="I62" s="4"/>
      <c r="J62" s="4"/>
      <c r="K62" s="4"/>
    </row>
    <row r="63" customFormat="false" ht="15" hidden="false" customHeight="true" outlineLevel="0" collapsed="false">
      <c r="A63" s="4"/>
      <c r="B63" s="4"/>
      <c r="C63" s="4"/>
      <c r="D63" s="4"/>
      <c r="E63" s="4"/>
      <c r="F63" s="4"/>
      <c r="G63" s="4"/>
      <c r="H63" s="4"/>
      <c r="I63" s="4"/>
      <c r="J63" s="4"/>
      <c r="K63" s="4"/>
    </row>
    <row r="64" customFormat="false" ht="15" hidden="false" customHeight="true" outlineLevel="0" collapsed="false">
      <c r="A64" s="4"/>
      <c r="B64" s="4"/>
      <c r="C64" s="4"/>
      <c r="D64" s="4"/>
      <c r="E64" s="4"/>
      <c r="F64" s="4"/>
      <c r="G64" s="4"/>
      <c r="H64" s="4"/>
      <c r="I64" s="4"/>
      <c r="J64" s="4"/>
      <c r="K64" s="4"/>
    </row>
    <row r="65" customFormat="false" ht="15" hidden="false" customHeight="true" outlineLevel="0" collapsed="false">
      <c r="A65" s="4"/>
      <c r="B65" s="4"/>
      <c r="C65" s="4"/>
      <c r="D65" s="4"/>
      <c r="E65" s="4"/>
      <c r="F65" s="4"/>
      <c r="G65" s="4"/>
      <c r="H65" s="4"/>
      <c r="I65" s="4"/>
      <c r="J65" s="4"/>
      <c r="K65" s="4"/>
    </row>
    <row r="66" customFormat="false" ht="15" hidden="false" customHeight="true" outlineLevel="0" collapsed="false">
      <c r="A66" s="4"/>
      <c r="B66" s="4"/>
      <c r="C66" s="4"/>
      <c r="D66" s="4"/>
      <c r="E66" s="4"/>
      <c r="F66" s="4"/>
      <c r="G66" s="4"/>
      <c r="H66" s="4"/>
      <c r="I66" s="4"/>
      <c r="J66" s="4"/>
      <c r="K66" s="4"/>
    </row>
    <row r="67" customFormat="false" ht="15" hidden="false" customHeight="true" outlineLevel="0" collapsed="false">
      <c r="A67" s="4"/>
      <c r="B67" s="4"/>
      <c r="C67" s="4"/>
      <c r="D67" s="4"/>
      <c r="E67" s="4"/>
      <c r="F67" s="4"/>
      <c r="G67" s="4"/>
      <c r="H67" s="4"/>
      <c r="I67" s="4"/>
      <c r="J67" s="4"/>
      <c r="K67" s="4"/>
    </row>
    <row r="68" customFormat="false" ht="15" hidden="false" customHeight="true" outlineLevel="0" collapsed="false">
      <c r="A68" s="4"/>
      <c r="B68" s="4"/>
      <c r="C68" s="4"/>
      <c r="D68" s="4"/>
      <c r="E68" s="4"/>
      <c r="F68" s="4"/>
      <c r="G68" s="4"/>
      <c r="H68" s="4"/>
      <c r="I68" s="4"/>
      <c r="J68" s="4"/>
      <c r="K68" s="4"/>
    </row>
    <row r="69" customFormat="false" ht="15" hidden="false" customHeight="true" outlineLevel="0" collapsed="false">
      <c r="A69" s="4"/>
      <c r="B69" s="4"/>
      <c r="C69" s="4"/>
      <c r="D69" s="4"/>
      <c r="E69" s="4"/>
      <c r="F69" s="4"/>
      <c r="G69" s="4"/>
      <c r="H69" s="4"/>
      <c r="I69" s="4"/>
      <c r="J69" s="4"/>
      <c r="K69" s="4"/>
    </row>
    <row r="70" customFormat="false" ht="15" hidden="false" customHeight="true" outlineLevel="0" collapsed="false">
      <c r="A70" s="4"/>
      <c r="B70" s="4"/>
      <c r="C70" s="4"/>
      <c r="D70" s="4"/>
      <c r="E70" s="4"/>
      <c r="F70" s="4"/>
      <c r="G70" s="4"/>
      <c r="H70" s="4"/>
      <c r="I70" s="4"/>
      <c r="J70" s="4"/>
      <c r="K70" s="4"/>
    </row>
    <row r="71" customFormat="false" ht="15" hidden="false" customHeight="true" outlineLevel="0" collapsed="false">
      <c r="A71" s="4"/>
      <c r="B71" s="4"/>
      <c r="C71" s="4"/>
      <c r="D71" s="4"/>
      <c r="E71" s="4"/>
      <c r="F71" s="4"/>
      <c r="G71" s="4"/>
      <c r="H71" s="4"/>
      <c r="I71" s="4"/>
      <c r="J71" s="4"/>
      <c r="K71" s="4"/>
    </row>
    <row r="72" customFormat="false" ht="15" hidden="false" customHeight="true" outlineLevel="0" collapsed="false">
      <c r="A72" s="4"/>
      <c r="B72" s="4"/>
      <c r="C72" s="4"/>
      <c r="D72" s="4"/>
      <c r="E72" s="4"/>
      <c r="F72" s="4"/>
      <c r="G72" s="4"/>
      <c r="H72" s="4"/>
      <c r="I72" s="4"/>
      <c r="J72" s="4"/>
      <c r="K72" s="4"/>
    </row>
    <row r="73" customFormat="false" ht="15" hidden="false" customHeight="true" outlineLevel="0" collapsed="false">
      <c r="A73" s="4"/>
      <c r="B73" s="4"/>
      <c r="C73" s="4"/>
      <c r="D73" s="4"/>
      <c r="E73" s="4"/>
      <c r="F73" s="4"/>
      <c r="G73" s="4"/>
      <c r="H73" s="4"/>
      <c r="I73" s="4"/>
      <c r="J73" s="4"/>
      <c r="K73" s="4"/>
    </row>
    <row r="74" customFormat="false" ht="15" hidden="false" customHeight="true" outlineLevel="0" collapsed="false">
      <c r="A74" s="4"/>
      <c r="B74" s="4"/>
      <c r="C74" s="4"/>
      <c r="D74" s="4"/>
      <c r="E74" s="4"/>
      <c r="F74" s="4"/>
      <c r="G74" s="4"/>
      <c r="H74" s="4"/>
      <c r="I74" s="4"/>
      <c r="J74" s="4"/>
      <c r="K74" s="4"/>
    </row>
    <row r="75" customFormat="false" ht="15" hidden="false" customHeight="true" outlineLevel="0" collapsed="false">
      <c r="A75" s="4"/>
      <c r="B75" s="4"/>
      <c r="C75" s="4"/>
      <c r="D75" s="4"/>
      <c r="E75" s="4"/>
      <c r="F75" s="4"/>
      <c r="G75" s="4"/>
      <c r="H75" s="4"/>
      <c r="I75" s="4"/>
      <c r="J75" s="4"/>
      <c r="K75" s="4"/>
    </row>
    <row r="76" customFormat="false" ht="15" hidden="false" customHeight="true" outlineLevel="0" collapsed="false">
      <c r="A76" s="4"/>
      <c r="B76" s="4"/>
      <c r="C76" s="4"/>
      <c r="D76" s="4"/>
      <c r="E76" s="4"/>
      <c r="F76" s="4"/>
      <c r="G76" s="4"/>
      <c r="H76" s="4"/>
      <c r="I76" s="4"/>
      <c r="J76" s="4"/>
      <c r="K76" s="4"/>
    </row>
    <row r="77" customFormat="false" ht="15" hidden="false" customHeight="true" outlineLevel="0" collapsed="false">
      <c r="A77" s="4"/>
      <c r="B77" s="4"/>
      <c r="C77" s="4"/>
      <c r="D77" s="4"/>
      <c r="E77" s="4"/>
      <c r="F77" s="4"/>
      <c r="G77" s="4"/>
      <c r="H77" s="4"/>
      <c r="I77" s="4"/>
      <c r="J77" s="4"/>
      <c r="K77" s="4"/>
    </row>
    <row r="78" customFormat="false" ht="15" hidden="false" customHeight="true" outlineLevel="0" collapsed="false">
      <c r="A78" s="4"/>
      <c r="B78" s="4"/>
      <c r="C78" s="4"/>
      <c r="D78" s="4"/>
      <c r="E78" s="4"/>
      <c r="F78" s="4"/>
      <c r="G78" s="4"/>
      <c r="H78" s="4"/>
      <c r="I78" s="4"/>
      <c r="J78" s="4"/>
      <c r="K78" s="4"/>
    </row>
    <row r="79" customFormat="false" ht="15" hidden="false" customHeight="true" outlineLevel="0" collapsed="false">
      <c r="A79" s="4"/>
      <c r="B79" s="4"/>
      <c r="C79" s="4"/>
      <c r="D79" s="4"/>
      <c r="E79" s="4"/>
      <c r="F79" s="4"/>
      <c r="G79" s="4"/>
      <c r="H79" s="4"/>
      <c r="I79" s="4"/>
      <c r="J79" s="4"/>
      <c r="K79" s="4"/>
    </row>
    <row r="80" customFormat="false" ht="15" hidden="false" customHeight="true" outlineLevel="0" collapsed="false">
      <c r="A80" s="4"/>
      <c r="B80" s="4"/>
      <c r="C80" s="4"/>
      <c r="D80" s="4"/>
      <c r="E80" s="4"/>
      <c r="F80" s="4"/>
      <c r="G80" s="4"/>
      <c r="H80" s="4"/>
      <c r="I80" s="4"/>
      <c r="J80" s="4"/>
      <c r="K80" s="4"/>
    </row>
    <row r="81" customFormat="false" ht="15" hidden="false" customHeight="true" outlineLevel="0" collapsed="false">
      <c r="A81" s="4"/>
      <c r="B81" s="4"/>
      <c r="C81" s="4"/>
      <c r="D81" s="4"/>
      <c r="E81" s="4"/>
      <c r="F81" s="4"/>
      <c r="G81" s="4"/>
      <c r="H81" s="4"/>
      <c r="I81" s="4"/>
      <c r="J81" s="4"/>
      <c r="K81" s="4"/>
    </row>
    <row r="82" customFormat="false" ht="15" hidden="false" customHeight="true" outlineLevel="0" collapsed="false">
      <c r="A82" s="4"/>
      <c r="B82" s="4"/>
      <c r="C82" s="4"/>
      <c r="D82" s="4"/>
      <c r="E82" s="4"/>
      <c r="F82" s="4"/>
      <c r="G82" s="4"/>
      <c r="H82" s="4"/>
      <c r="I82" s="4"/>
      <c r="J82" s="4"/>
      <c r="K82" s="4"/>
    </row>
    <row r="83" customFormat="false" ht="15" hidden="false" customHeight="true" outlineLevel="0" collapsed="false">
      <c r="A83" s="4"/>
      <c r="B83" s="4"/>
      <c r="C83" s="4"/>
      <c r="D83" s="4"/>
      <c r="E83" s="4"/>
      <c r="F83" s="4"/>
      <c r="G83" s="4"/>
      <c r="H83" s="4"/>
      <c r="I83" s="4"/>
      <c r="J83" s="4"/>
      <c r="K83" s="4"/>
    </row>
    <row r="84" customFormat="false" ht="15" hidden="false" customHeight="true" outlineLevel="0" collapsed="false">
      <c r="A84" s="4"/>
      <c r="B84" s="4"/>
      <c r="C84" s="4"/>
      <c r="D84" s="4"/>
      <c r="E84" s="4"/>
      <c r="F84" s="4"/>
      <c r="G84" s="4"/>
      <c r="H84" s="4"/>
      <c r="I84" s="4"/>
      <c r="J84" s="4"/>
      <c r="K84" s="4"/>
    </row>
    <row r="85" customFormat="false" ht="15" hidden="false" customHeight="true" outlineLevel="0" collapsed="false">
      <c r="A85" s="4"/>
      <c r="B85" s="4"/>
      <c r="C85" s="4"/>
      <c r="D85" s="4"/>
      <c r="E85" s="4"/>
      <c r="F85" s="4"/>
      <c r="G85" s="4"/>
      <c r="H85" s="4"/>
      <c r="I85" s="4"/>
      <c r="J85" s="4"/>
      <c r="K85" s="4"/>
    </row>
    <row r="86" customFormat="false" ht="15" hidden="false" customHeight="true" outlineLevel="0" collapsed="false">
      <c r="A86" s="4"/>
      <c r="B86" s="4"/>
      <c r="C86" s="4"/>
      <c r="D86" s="4"/>
      <c r="E86" s="4"/>
      <c r="F86" s="4"/>
      <c r="G86" s="4"/>
      <c r="H86" s="4"/>
      <c r="I86" s="4"/>
      <c r="J86" s="4"/>
      <c r="K86" s="4"/>
    </row>
    <row r="87" customFormat="false" ht="15" hidden="false" customHeight="true" outlineLevel="0" collapsed="false">
      <c r="A87" s="4"/>
      <c r="B87" s="4"/>
      <c r="C87" s="4"/>
      <c r="D87" s="4"/>
      <c r="E87" s="4"/>
      <c r="F87" s="4"/>
      <c r="G87" s="4"/>
      <c r="H87" s="4"/>
      <c r="I87" s="4"/>
      <c r="J87" s="4"/>
      <c r="K87" s="4"/>
    </row>
    <row r="88" customFormat="false" ht="15" hidden="false" customHeight="true" outlineLevel="0" collapsed="false">
      <c r="A88" s="4"/>
      <c r="B88" s="4"/>
      <c r="C88" s="4"/>
      <c r="D88" s="4"/>
      <c r="E88" s="4"/>
      <c r="F88" s="4"/>
      <c r="G88" s="4"/>
      <c r="H88" s="4"/>
      <c r="I88" s="4"/>
      <c r="J88" s="4"/>
      <c r="K88" s="4"/>
    </row>
    <row r="89" customFormat="false" ht="15" hidden="false" customHeight="true" outlineLevel="0" collapsed="false">
      <c r="A89" s="4"/>
      <c r="B89" s="4"/>
      <c r="C89" s="4"/>
      <c r="D89" s="4"/>
      <c r="E89" s="4"/>
      <c r="F89" s="4"/>
      <c r="G89" s="4"/>
      <c r="H89" s="4"/>
      <c r="I89" s="4"/>
      <c r="J89" s="4"/>
      <c r="K89" s="4"/>
    </row>
    <row r="90" customFormat="false" ht="15" hidden="false" customHeight="true" outlineLevel="0" collapsed="false">
      <c r="A90" s="4"/>
      <c r="B90" s="4"/>
      <c r="C90" s="4"/>
      <c r="D90" s="4"/>
      <c r="E90" s="4"/>
      <c r="F90" s="4"/>
      <c r="G90" s="4"/>
      <c r="H90" s="4"/>
      <c r="I90" s="4"/>
      <c r="J90" s="4"/>
      <c r="K90" s="4"/>
    </row>
    <row r="91" customFormat="false" ht="15" hidden="false" customHeight="true" outlineLevel="0" collapsed="false">
      <c r="A91" s="4"/>
      <c r="B91" s="4"/>
      <c r="C91" s="4"/>
      <c r="D91" s="4"/>
      <c r="E91" s="4"/>
      <c r="F91" s="4"/>
      <c r="G91" s="4"/>
      <c r="H91" s="4"/>
      <c r="I91" s="4"/>
      <c r="J91" s="4"/>
      <c r="K91" s="4"/>
    </row>
    <row r="92" customFormat="false" ht="15" hidden="false" customHeight="true" outlineLevel="0" collapsed="false">
      <c r="A92" s="4"/>
      <c r="B92" s="4"/>
      <c r="C92" s="4"/>
      <c r="D92" s="4"/>
      <c r="E92" s="4"/>
      <c r="F92" s="4"/>
      <c r="G92" s="4"/>
      <c r="H92" s="4"/>
      <c r="I92" s="4"/>
      <c r="J92" s="4"/>
      <c r="K92" s="4"/>
    </row>
    <row r="93" customFormat="false" ht="15" hidden="false" customHeight="true" outlineLevel="0" collapsed="false">
      <c r="A93" s="4"/>
      <c r="B93" s="4"/>
      <c r="C93" s="4"/>
      <c r="D93" s="4"/>
      <c r="E93" s="4"/>
      <c r="F93" s="4"/>
      <c r="G93" s="4"/>
      <c r="H93" s="4"/>
      <c r="I93" s="4"/>
      <c r="J93" s="4"/>
      <c r="K93" s="4"/>
    </row>
    <row r="94" customFormat="false" ht="15" hidden="false" customHeight="true" outlineLevel="0" collapsed="false">
      <c r="A94" s="4"/>
      <c r="B94" s="4"/>
      <c r="C94" s="4"/>
      <c r="D94" s="4"/>
      <c r="E94" s="4"/>
      <c r="F94" s="4"/>
      <c r="G94" s="4"/>
      <c r="H94" s="4"/>
      <c r="I94" s="4"/>
      <c r="J94" s="4"/>
      <c r="K94" s="4"/>
    </row>
    <row r="95" customFormat="false" ht="15" hidden="false" customHeight="true" outlineLevel="0" collapsed="false">
      <c r="A95" s="4"/>
      <c r="B95" s="4"/>
      <c r="C95" s="4"/>
      <c r="D95" s="4"/>
      <c r="E95" s="4"/>
      <c r="F95" s="4"/>
      <c r="G95" s="4"/>
      <c r="H95" s="4"/>
      <c r="I95" s="4"/>
      <c r="J95" s="4"/>
      <c r="K95" s="4"/>
    </row>
    <row r="96" customFormat="false" ht="15" hidden="false" customHeight="true" outlineLevel="0" collapsed="false">
      <c r="A96" s="4"/>
      <c r="B96" s="4"/>
      <c r="C96" s="4"/>
      <c r="D96" s="4"/>
      <c r="E96" s="4"/>
      <c r="F96" s="4"/>
      <c r="G96" s="4"/>
      <c r="H96" s="4"/>
      <c r="I96" s="4"/>
      <c r="J96" s="4"/>
      <c r="K96" s="4"/>
    </row>
    <row r="97" customFormat="false" ht="15" hidden="false" customHeight="true" outlineLevel="0" collapsed="false">
      <c r="A97" s="4"/>
      <c r="B97" s="4"/>
      <c r="C97" s="4"/>
      <c r="D97" s="4"/>
      <c r="E97" s="4"/>
      <c r="F97" s="4"/>
      <c r="G97" s="4"/>
      <c r="H97" s="4"/>
      <c r="I97" s="4"/>
      <c r="J97" s="4"/>
      <c r="K97" s="4"/>
    </row>
    <row r="98" customFormat="false" ht="15" hidden="false" customHeight="true" outlineLevel="0" collapsed="false">
      <c r="A98" s="4"/>
      <c r="B98" s="4"/>
      <c r="C98" s="4"/>
      <c r="D98" s="4"/>
      <c r="E98" s="4"/>
      <c r="F98" s="4"/>
      <c r="G98" s="4"/>
      <c r="H98" s="4"/>
      <c r="I98" s="4"/>
      <c r="J98" s="4"/>
      <c r="K98" s="4"/>
    </row>
    <row r="99" customFormat="false" ht="15" hidden="false" customHeight="true" outlineLevel="0" collapsed="false">
      <c r="A99" s="4"/>
      <c r="B99" s="4"/>
      <c r="C99" s="4"/>
      <c r="D99" s="4"/>
      <c r="E99" s="4"/>
      <c r="F99" s="4"/>
      <c r="G99" s="4"/>
      <c r="H99" s="4"/>
      <c r="I99" s="4"/>
      <c r="J99" s="4"/>
      <c r="K99" s="4"/>
    </row>
    <row r="100" customFormat="false" ht="15" hidden="false" customHeight="true" outlineLevel="0" collapsed="false">
      <c r="A100" s="4"/>
      <c r="B100" s="4"/>
      <c r="C100" s="4"/>
      <c r="D100" s="4"/>
      <c r="E100" s="4"/>
      <c r="F100" s="4"/>
      <c r="G100" s="4"/>
      <c r="H100" s="4"/>
      <c r="I100" s="4"/>
      <c r="J100" s="4"/>
      <c r="K100" s="4"/>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42"/>
    <col collapsed="false" customWidth="true" hidden="false" outlineLevel="0" max="4" min="4" style="1" width="24"/>
    <col collapsed="false" customWidth="true" hidden="false" outlineLevel="0" max="5" min="5" style="1" width="72"/>
  </cols>
  <sheetData>
    <row r="1" customFormat="false" ht="17.25" hidden="false" customHeight="true" outlineLevel="0" collapsed="false">
      <c r="A1" s="12" t="s">
        <v>36</v>
      </c>
      <c r="B1" s="12"/>
      <c r="C1" s="12"/>
      <c r="D1" s="12"/>
      <c r="E1" s="12"/>
      <c r="F1" s="12"/>
    </row>
    <row r="3" customFormat="false" ht="15" hidden="false" customHeight="true" outlineLevel="0" collapsed="false">
      <c r="A3" s="13" t="s">
        <v>37</v>
      </c>
      <c r="B3" s="13" t="s">
        <v>38</v>
      </c>
      <c r="C3" s="13" t="s">
        <v>39</v>
      </c>
      <c r="D3" s="13" t="s">
        <v>40</v>
      </c>
      <c r="E3" s="13" t="s">
        <v>41</v>
      </c>
    </row>
    <row r="4" customFormat="false" ht="15" hidden="false" customHeight="true" outlineLevel="0" collapsed="false">
      <c r="A4" s="14" t="s">
        <v>42</v>
      </c>
      <c r="B4" s="15" t="n">
        <v>24905.9</v>
      </c>
      <c r="C4" s="14" t="s">
        <v>43</v>
      </c>
      <c r="D4" s="14" t="s">
        <v>44</v>
      </c>
      <c r="E4" s="14" t="s">
        <v>45</v>
      </c>
    </row>
    <row r="5" customFormat="false" ht="15" hidden="false" customHeight="true" outlineLevel="0" collapsed="false">
      <c r="A5" s="14" t="s">
        <v>46</v>
      </c>
      <c r="B5" s="15" t="n">
        <v>28993.443</v>
      </c>
      <c r="C5" s="14" t="s">
        <v>47</v>
      </c>
      <c r="D5" s="14" t="s">
        <v>48</v>
      </c>
      <c r="E5" s="14" t="s">
        <v>49</v>
      </c>
    </row>
    <row r="6" customFormat="false" ht="15" hidden="false" customHeight="true" outlineLevel="0" collapsed="false">
      <c r="A6" s="14" t="s">
        <v>50</v>
      </c>
      <c r="B6" s="15" t="n">
        <v>11708.891</v>
      </c>
      <c r="C6" s="14" t="s">
        <v>51</v>
      </c>
      <c r="D6" s="14" t="s">
        <v>44</v>
      </c>
      <c r="E6" s="14" t="s">
        <v>52</v>
      </c>
    </row>
    <row r="7" customFormat="false" ht="15" hidden="false" customHeight="true" outlineLevel="0" collapsed="false">
      <c r="A7" s="14" t="s">
        <v>53</v>
      </c>
      <c r="B7" s="15" t="n">
        <v>4179.16</v>
      </c>
      <c r="C7" s="14" t="s">
        <v>54</v>
      </c>
      <c r="D7" s="14" t="s">
        <v>44</v>
      </c>
      <c r="E7" s="14" t="s">
        <v>55</v>
      </c>
    </row>
    <row r="8" customFormat="false" ht="15" hidden="false" customHeight="true" outlineLevel="0" collapsed="false">
      <c r="A8" s="14" t="s">
        <v>56</v>
      </c>
      <c r="B8" s="15" t="n">
        <v>4919</v>
      </c>
      <c r="C8" s="14" t="s">
        <v>57</v>
      </c>
      <c r="D8" s="14" t="s">
        <v>58</v>
      </c>
      <c r="E8" s="14" t="s">
        <v>59</v>
      </c>
    </row>
    <row r="9" customFormat="false" ht="15" hidden="false" customHeight="true" outlineLevel="0" collapsed="false">
      <c r="A9" s="14" t="s">
        <v>60</v>
      </c>
      <c r="B9" s="15" t="n">
        <v>6752</v>
      </c>
      <c r="C9" s="14" t="s">
        <v>61</v>
      </c>
      <c r="D9" s="14" t="s">
        <v>58</v>
      </c>
      <c r="E9" s="14" t="s">
        <v>59</v>
      </c>
    </row>
    <row r="10" customFormat="false" ht="15" hidden="false" customHeight="true" outlineLevel="0" collapsed="false">
      <c r="A10" s="14" t="s">
        <v>62</v>
      </c>
      <c r="B10" s="15" t="n">
        <v>1418</v>
      </c>
      <c r="C10" s="14" t="s">
        <v>63</v>
      </c>
      <c r="D10" s="14" t="s">
        <v>64</v>
      </c>
      <c r="E10" s="14" t="s">
        <v>65</v>
      </c>
    </row>
    <row r="11" customFormat="false" ht="15" hidden="false" customHeight="true" outlineLevel="0" collapsed="false">
      <c r="A11" s="14" t="s">
        <v>66</v>
      </c>
      <c r="B11" s="15" t="n">
        <v>1485</v>
      </c>
      <c r="C11" s="14" t="s">
        <v>67</v>
      </c>
      <c r="D11" s="14" t="s">
        <v>64</v>
      </c>
      <c r="E11" s="14" t="s">
        <v>65</v>
      </c>
    </row>
    <row r="12" customFormat="false" ht="27.75" hidden="false" customHeight="true" outlineLevel="0" collapsed="false">
      <c r="A12" s="14" t="s">
        <v>68</v>
      </c>
      <c r="B12" s="15" t="n">
        <v>5300</v>
      </c>
      <c r="C12" s="14" t="s">
        <v>69</v>
      </c>
      <c r="D12" s="14" t="s">
        <v>70</v>
      </c>
      <c r="E12" s="14" t="s">
        <v>71</v>
      </c>
    </row>
    <row r="13" customFormat="false" ht="27.75" hidden="false" customHeight="true" outlineLevel="0" collapsed="false">
      <c r="A13" s="14" t="s">
        <v>72</v>
      </c>
      <c r="B13" s="15" t="n">
        <v>1643</v>
      </c>
      <c r="C13" s="14" t="s">
        <v>73</v>
      </c>
      <c r="D13" s="14" t="s">
        <v>74</v>
      </c>
      <c r="E13" s="14" t="s">
        <v>71</v>
      </c>
    </row>
    <row r="14" customFormat="false" ht="27.75" hidden="false" customHeight="true" outlineLevel="0" collapsed="false">
      <c r="A14" s="14" t="s">
        <v>75</v>
      </c>
      <c r="B14" s="15" t="n">
        <v>866.444</v>
      </c>
      <c r="C14" s="14" t="s">
        <v>76</v>
      </c>
      <c r="D14" s="14" t="s">
        <v>44</v>
      </c>
      <c r="E14" s="14" t="s">
        <v>77</v>
      </c>
    </row>
    <row r="15" customFormat="false" ht="27.75" hidden="false" customHeight="true" outlineLevel="0" collapsed="false">
      <c r="A15" s="14" t="s">
        <v>78</v>
      </c>
      <c r="B15" s="15" t="n">
        <v>954</v>
      </c>
      <c r="C15" s="14" t="s">
        <v>79</v>
      </c>
      <c r="D15" s="14" t="s">
        <v>80</v>
      </c>
      <c r="E15" s="14" t="s">
        <v>71</v>
      </c>
    </row>
    <row r="16" customFormat="false" ht="15" hidden="false" customHeight="true" outlineLevel="0" collapsed="false">
      <c r="A16" s="14" t="s">
        <v>81</v>
      </c>
      <c r="B16" s="15" t="n">
        <v>2232.929</v>
      </c>
      <c r="C16" s="14" t="s">
        <v>82</v>
      </c>
      <c r="D16" s="14" t="s">
        <v>83</v>
      </c>
      <c r="E16" s="14" t="s">
        <v>84</v>
      </c>
    </row>
    <row r="17" customFormat="false" ht="15" hidden="false" customHeight="true" outlineLevel="0" collapsed="false">
      <c r="A17" s="14" t="s">
        <v>85</v>
      </c>
      <c r="B17" s="15" t="n">
        <v>797</v>
      </c>
      <c r="C17" s="14" t="s">
        <v>86</v>
      </c>
      <c r="D17" s="14" t="s">
        <v>87</v>
      </c>
      <c r="E17" s="14" t="s">
        <v>88</v>
      </c>
    </row>
    <row r="18" customFormat="false" ht="15" hidden="false" customHeight="true" outlineLevel="0" collapsed="false">
      <c r="A18" s="14" t="s">
        <v>89</v>
      </c>
      <c r="B18" s="15" t="n">
        <v>706.4</v>
      </c>
      <c r="C18" s="14" t="s">
        <v>90</v>
      </c>
      <c r="D18" s="14" t="s">
        <v>91</v>
      </c>
      <c r="E18" s="14" t="s">
        <v>92</v>
      </c>
    </row>
    <row r="19" customFormat="false" ht="15" hidden="false" customHeight="true" outlineLevel="0" collapsed="false">
      <c r="A19" s="14" t="s">
        <v>93</v>
      </c>
      <c r="B19" s="15" t="n">
        <v>633.85</v>
      </c>
      <c r="C19" s="14" t="s">
        <v>94</v>
      </c>
      <c r="D19" s="14" t="s">
        <v>91</v>
      </c>
      <c r="E19" s="14" t="s">
        <v>95</v>
      </c>
    </row>
    <row r="20" customFormat="false" ht="15" hidden="false" customHeight="true" outlineLevel="0" collapsed="false">
      <c r="A20" s="1" t="s">
        <v>96</v>
      </c>
      <c r="B20" s="16" t="n">
        <v>1600</v>
      </c>
      <c r="C20" s="1" t="s">
        <v>97</v>
      </c>
      <c r="D20" s="1" t="s">
        <v>98</v>
      </c>
      <c r="E20" s="1" t="s">
        <v>99</v>
      </c>
    </row>
    <row r="21" customFormat="false" ht="15" hidden="false" customHeight="true" outlineLevel="0" collapsed="false">
      <c r="A21" s="1" t="s">
        <v>100</v>
      </c>
      <c r="B21" s="1" t="n">
        <v>2721</v>
      </c>
      <c r="C21" s="1" t="s">
        <v>101</v>
      </c>
      <c r="D21" s="1" t="s">
        <v>102</v>
      </c>
      <c r="E21" s="1" t="s">
        <v>65</v>
      </c>
    </row>
    <row r="22" customFormat="false" ht="15" hidden="false" customHeight="true" outlineLevel="0" collapsed="false">
      <c r="A22" s="1" t="s">
        <v>103</v>
      </c>
      <c r="B22" s="1" t="n">
        <v>455</v>
      </c>
      <c r="C22" s="1" t="s">
        <v>104</v>
      </c>
      <c r="D22" s="1" t="s">
        <v>105</v>
      </c>
      <c r="E22" s="1" t="s">
        <v>106</v>
      </c>
    </row>
    <row r="23" customFormat="false" ht="15" hidden="false" customHeight="true" outlineLevel="0" collapsed="false">
      <c r="A23" s="1" t="s">
        <v>107</v>
      </c>
      <c r="B23" s="1" t="n">
        <v>138.8</v>
      </c>
      <c r="C23" s="1" t="s">
        <v>108</v>
      </c>
      <c r="D23" s="1" t="s">
        <v>109</v>
      </c>
      <c r="E23" s="1" t="s">
        <v>110</v>
      </c>
    </row>
    <row r="24" customFormat="false" ht="15" hidden="false" customHeight="true" outlineLevel="0" collapsed="false">
      <c r="A24" s="1" t="s">
        <v>111</v>
      </c>
      <c r="B24" s="1" t="n">
        <v>2426</v>
      </c>
      <c r="C24" s="1" t="s">
        <v>112</v>
      </c>
      <c r="D24" s="1" t="s">
        <v>113</v>
      </c>
      <c r="E24" s="1" t="s">
        <v>59</v>
      </c>
    </row>
    <row r="25" customFormat="false" ht="15" hidden="false" customHeight="true" outlineLevel="0" collapsed="false">
      <c r="A25" s="1" t="s">
        <v>114</v>
      </c>
    </row>
    <row r="26" customFormat="false" ht="15" hidden="false" customHeight="true" outlineLevel="0" collapsed="false">
      <c r="A26" s="1" t="s">
        <v>115</v>
      </c>
    </row>
    <row r="28" customFormat="false" ht="15" hidden="false" customHeight="true" outlineLevel="0" collapsed="false">
      <c r="A28" s="1" t="s">
        <v>116</v>
      </c>
      <c r="B28" s="1" t="n">
        <v>28200</v>
      </c>
      <c r="C28" s="1" t="s">
        <v>117</v>
      </c>
      <c r="D28" s="1" t="s">
        <v>118</v>
      </c>
      <c r="E28" s="1" t="s">
        <v>119</v>
      </c>
    </row>
    <row r="29" customFormat="false" ht="15" hidden="false" customHeight="true" outlineLevel="0" collapsed="false">
      <c r="A29" s="1" t="s">
        <v>120</v>
      </c>
      <c r="B29" s="1" t="n">
        <v>882</v>
      </c>
      <c r="C29" s="1" t="s">
        <v>121</v>
      </c>
      <c r="D29" s="1" t="s">
        <v>113</v>
      </c>
      <c r="E29" s="1" t="s">
        <v>59</v>
      </c>
    </row>
    <row r="30" customFormat="false" ht="15" hidden="false" customHeight="true" outlineLevel="0" collapsed="false">
      <c r="A30" s="1" t="s">
        <v>122</v>
      </c>
      <c r="B30" s="1" t="n">
        <f aca="false">B29/B28</f>
        <v>0.0312765957446809</v>
      </c>
      <c r="C30" s="1" t="s">
        <v>123</v>
      </c>
      <c r="D30" s="1" t="s">
        <v>124</v>
      </c>
    </row>
    <row r="32" customFormat="false" ht="15" hidden="false" customHeight="true" outlineLevel="0" collapsed="false">
      <c r="A32" s="17" t="s">
        <v>125</v>
      </c>
      <c r="B32" s="18" t="n">
        <v>1970</v>
      </c>
      <c r="C32" s="17" t="s">
        <v>126</v>
      </c>
      <c r="D32" s="17" t="s">
        <v>127</v>
      </c>
      <c r="E32" s="17" t="s">
        <v>128</v>
      </c>
    </row>
    <row r="33" customFormat="false" ht="15" hidden="false" customHeight="true" outlineLevel="0" collapsed="false">
      <c r="A33" s="17" t="s">
        <v>129</v>
      </c>
      <c r="B33" s="18" t="n">
        <v>1940</v>
      </c>
      <c r="C33" s="17" t="s">
        <v>126</v>
      </c>
      <c r="D33" s="17" t="s">
        <v>130</v>
      </c>
      <c r="E33" s="17" t="s">
        <v>131</v>
      </c>
    </row>
    <row r="34" customFormat="false" ht="15" hidden="false" customHeight="true" outlineLevel="0" collapsed="false">
      <c r="A34" s="17" t="s">
        <v>132</v>
      </c>
      <c r="B34" s="18" t="n">
        <v>1300</v>
      </c>
      <c r="C34" s="17" t="s">
        <v>133</v>
      </c>
      <c r="D34" s="17" t="s">
        <v>134</v>
      </c>
      <c r="E34" s="17" t="s">
        <v>135</v>
      </c>
    </row>
    <row r="35" customFormat="false" ht="15" hidden="false" customHeight="true" outlineLevel="0" collapsed="false">
      <c r="A35" s="17" t="s">
        <v>136</v>
      </c>
      <c r="B35" s="18" t="n">
        <v>300</v>
      </c>
      <c r="C35" s="17" t="s">
        <v>137</v>
      </c>
      <c r="D35" s="17" t="s">
        <v>138</v>
      </c>
      <c r="E35" s="17" t="s">
        <v>139</v>
      </c>
    </row>
    <row r="36" customFormat="false" ht="15" hidden="false" customHeight="true" outlineLevel="0" collapsed="false">
      <c r="A36" s="17" t="s">
        <v>140</v>
      </c>
      <c r="B36" s="18" t="n">
        <v>366.7</v>
      </c>
      <c r="C36" s="17" t="s">
        <v>141</v>
      </c>
      <c r="D36" s="17" t="s">
        <v>142</v>
      </c>
      <c r="E36" s="17" t="s">
        <v>143</v>
      </c>
    </row>
    <row r="37" customFormat="false" ht="15" hidden="false" customHeight="true" outlineLevel="0" collapsed="false">
      <c r="A37" s="17" t="s">
        <v>144</v>
      </c>
      <c r="B37" s="18" t="n">
        <v>530</v>
      </c>
      <c r="C37" s="17" t="s">
        <v>145</v>
      </c>
      <c r="D37" s="17" t="s">
        <v>146</v>
      </c>
      <c r="E37" s="17" t="s">
        <v>147</v>
      </c>
    </row>
    <row r="38" customFormat="false" ht="15" hidden="false" customHeight="true" outlineLevel="0" collapsed="false">
      <c r="A38" s="17" t="s">
        <v>148</v>
      </c>
      <c r="B38" s="18" t="n">
        <v>848</v>
      </c>
      <c r="C38" s="17" t="s">
        <v>149</v>
      </c>
      <c r="D38" s="17" t="s">
        <v>150</v>
      </c>
      <c r="E38" s="17" t="s">
        <v>71</v>
      </c>
    </row>
    <row r="39" customFormat="false" ht="15" hidden="false" customHeight="true" outlineLevel="0" collapsed="false">
      <c r="A39" s="17" t="s">
        <v>151</v>
      </c>
      <c r="B39" s="18" t="n">
        <v>190</v>
      </c>
      <c r="C39" s="17" t="s">
        <v>152</v>
      </c>
      <c r="D39" s="17" t="s">
        <v>153</v>
      </c>
      <c r="E39" s="17"/>
    </row>
    <row r="40" customFormat="false" ht="15" hidden="false" customHeight="true" outlineLevel="0" collapsed="false">
      <c r="A40" s="17" t="s">
        <v>154</v>
      </c>
      <c r="B40" s="18" t="n">
        <v>1900</v>
      </c>
      <c r="C40" s="17" t="s">
        <v>155</v>
      </c>
      <c r="D40" s="17" t="s">
        <v>156</v>
      </c>
      <c r="E40" s="17"/>
    </row>
    <row r="41" customFormat="false" ht="15" hidden="false" customHeight="true" outlineLevel="0" collapsed="false">
      <c r="A41" s="19" t="s">
        <v>157</v>
      </c>
      <c r="B41" s="20" t="n">
        <f aca="false">Liquid_Income_Base!B16</f>
        <v>20470.757841</v>
      </c>
      <c r="C41" s="19" t="s">
        <v>158</v>
      </c>
      <c r="D41" s="19" t="s">
        <v>159</v>
      </c>
      <c r="E41" s="19"/>
    </row>
    <row r="42" customFormat="false" ht="15" hidden="false" customHeight="true" outlineLevel="0" collapsed="false">
      <c r="A42" s="21" t="s">
        <v>160</v>
      </c>
      <c r="B42" s="22" t="n">
        <v>253</v>
      </c>
      <c r="C42" s="21" t="s">
        <v>161</v>
      </c>
      <c r="D42" s="21" t="s">
        <v>162</v>
      </c>
      <c r="E42" s="21" t="s">
        <v>59</v>
      </c>
    </row>
    <row r="43" customFormat="false" ht="23.25" hidden="false" customHeight="true" outlineLevel="0" collapsed="false">
      <c r="A43" s="21" t="s">
        <v>163</v>
      </c>
      <c r="B43" s="22"/>
      <c r="C43" s="21" t="s">
        <v>164</v>
      </c>
      <c r="D43" s="21" t="s">
        <v>165</v>
      </c>
      <c r="E43" s="21" t="s">
        <v>166</v>
      </c>
    </row>
    <row r="44" customFormat="false" ht="23.25" hidden="false" customHeight="true" outlineLevel="0" collapsed="false">
      <c r="A44" s="21" t="s">
        <v>167</v>
      </c>
      <c r="B44" s="22" t="n">
        <v>437.77558</v>
      </c>
      <c r="C44" s="21" t="s">
        <v>168</v>
      </c>
      <c r="D44" s="21" t="s">
        <v>169</v>
      </c>
      <c r="E44" s="21" t="s">
        <v>170</v>
      </c>
    </row>
    <row r="45" customFormat="false" ht="23.25" hidden="false" customHeight="true" outlineLevel="0" collapsed="false">
      <c r="A45" s="21" t="s">
        <v>171</v>
      </c>
      <c r="B45" s="22" t="n">
        <v>858.038339</v>
      </c>
      <c r="C45" s="21" t="s">
        <v>168</v>
      </c>
      <c r="D45" s="21" t="s">
        <v>169</v>
      </c>
      <c r="E45" s="21" t="s">
        <v>170</v>
      </c>
    </row>
    <row r="46" customFormat="false" ht="23.25" hidden="false" customHeight="true" outlineLevel="0" collapsed="false">
      <c r="A46" s="21" t="s">
        <v>172</v>
      </c>
      <c r="B46" s="22" t="n">
        <v>50.110198</v>
      </c>
      <c r="C46" s="21" t="s">
        <v>173</v>
      </c>
      <c r="D46" s="21" t="s">
        <v>174</v>
      </c>
      <c r="E46" s="21" t="s">
        <v>170</v>
      </c>
    </row>
    <row r="47" customFormat="false" ht="23.25" hidden="false" customHeight="true" outlineLevel="0" collapsed="false">
      <c r="A47" s="21" t="s">
        <v>175</v>
      </c>
      <c r="B47" s="22" t="n">
        <v>275</v>
      </c>
      <c r="C47" s="21" t="s">
        <v>176</v>
      </c>
      <c r="D47" s="21" t="s">
        <v>177</v>
      </c>
      <c r="E47" s="21"/>
    </row>
    <row r="48" customFormat="false" ht="23.25" hidden="false" customHeight="true" outlineLevel="0" collapsed="false">
      <c r="A48" s="21" t="s">
        <v>178</v>
      </c>
      <c r="B48" s="22" t="n">
        <v>29.744257</v>
      </c>
      <c r="C48" s="21" t="s">
        <v>168</v>
      </c>
      <c r="D48" s="21" t="s">
        <v>179</v>
      </c>
      <c r="E48" s="21" t="s">
        <v>170</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7"/>
    <col collapsed="false" customWidth="true" hidden="false" outlineLevel="0" max="4" min="2" style="17" width="17"/>
    <col collapsed="false" customWidth="true" hidden="false" outlineLevel="0" max="5" min="5" style="17" width="18"/>
    <col collapsed="false" customWidth="true" hidden="false" outlineLevel="0" max="6" min="6" style="17" width="46"/>
  </cols>
  <sheetData>
    <row r="1" customFormat="false" ht="27.75" hidden="false" customHeight="true" outlineLevel="0" collapsed="false">
      <c r="A1" s="23" t="s">
        <v>180</v>
      </c>
      <c r="B1" s="23"/>
      <c r="C1" s="23"/>
      <c r="D1" s="23"/>
      <c r="E1" s="23"/>
      <c r="F1" s="23"/>
    </row>
    <row r="2" customFormat="false" ht="23.25" hidden="false" customHeight="true" outlineLevel="0" collapsed="false">
      <c r="A2" s="24" t="s">
        <v>181</v>
      </c>
      <c r="B2" s="24"/>
      <c r="C2" s="24"/>
      <c r="D2" s="24"/>
      <c r="E2" s="24"/>
      <c r="F2" s="24"/>
    </row>
    <row r="3" customFormat="false" ht="15" hidden="false" customHeight="true" outlineLevel="0" collapsed="false">
      <c r="A3" s="19" t="s">
        <v>182</v>
      </c>
      <c r="B3" s="19" t="s">
        <v>183</v>
      </c>
      <c r="C3" s="19" t="s">
        <v>184</v>
      </c>
      <c r="D3" s="19" t="s">
        <v>185</v>
      </c>
      <c r="E3" s="19" t="s">
        <v>186</v>
      </c>
      <c r="F3" s="19" t="s">
        <v>187</v>
      </c>
    </row>
    <row r="4" customFormat="false" ht="15" hidden="false" customHeight="true" outlineLevel="0" collapsed="false">
      <c r="A4" s="21" t="s">
        <v>50</v>
      </c>
      <c r="B4" s="22" t="n">
        <f aca="false">2024_Basis_Control!B6</f>
        <v>11708.891</v>
      </c>
      <c r="C4" s="25" t="n">
        <f aca="false">B4*10%</f>
        <v>1170.8891</v>
      </c>
      <c r="D4" s="25" t="n">
        <f aca="false">B4*3%</f>
        <v>351.26673</v>
      </c>
      <c r="E4" s="25" t="n">
        <f aca="false">B4*5%</f>
        <v>585.44455</v>
      </c>
      <c r="F4" s="21" t="s">
        <v>188</v>
      </c>
    </row>
    <row r="5" customFormat="false" ht="15" hidden="false" customHeight="true" outlineLevel="0" collapsed="false">
      <c r="A5" s="21" t="s">
        <v>189</v>
      </c>
      <c r="B5" s="22" t="n">
        <f aca="false">2024_Basis_Control!B32</f>
        <v>1970</v>
      </c>
      <c r="C5" s="25" t="n">
        <f aca="false">B5*10%</f>
        <v>197</v>
      </c>
      <c r="D5" s="25" t="n">
        <f aca="false">B5*3%</f>
        <v>59.1</v>
      </c>
      <c r="E5" s="25" t="n">
        <f aca="false">B5*5%</f>
        <v>98.5</v>
      </c>
      <c r="F5" s="21" t="s">
        <v>190</v>
      </c>
    </row>
    <row r="6" customFormat="false" ht="15" hidden="false" customHeight="true" outlineLevel="0" collapsed="false">
      <c r="A6" s="21" t="s">
        <v>191</v>
      </c>
      <c r="B6" s="22" t="n">
        <f aca="false">2024_Basis_Control!B33</f>
        <v>1940</v>
      </c>
      <c r="C6" s="25" t="n">
        <f aca="false">B6*10%</f>
        <v>194</v>
      </c>
      <c r="D6" s="25" t="n">
        <f aca="false">B6*3%</f>
        <v>58.2</v>
      </c>
      <c r="E6" s="25" t="n">
        <f aca="false">B6*5%</f>
        <v>97</v>
      </c>
      <c r="F6" s="21" t="s">
        <v>192</v>
      </c>
    </row>
    <row r="7" customFormat="false" ht="15" hidden="false" customHeight="true" outlineLevel="0" collapsed="false">
      <c r="A7" s="21" t="s">
        <v>193</v>
      </c>
      <c r="B7" s="22" t="n">
        <f aca="false">2024_Basis_Control!B34</f>
        <v>1300</v>
      </c>
      <c r="C7" s="25" t="n">
        <f aca="false">B7*10%</f>
        <v>130</v>
      </c>
      <c r="D7" s="25" t="n">
        <f aca="false">B7*3%</f>
        <v>39</v>
      </c>
      <c r="E7" s="25" t="n">
        <f aca="false">B7*5%</f>
        <v>65</v>
      </c>
      <c r="F7" s="21" t="s">
        <v>194</v>
      </c>
    </row>
    <row r="8" customFormat="false" ht="15" hidden="false" customHeight="true" outlineLevel="0" collapsed="false">
      <c r="A8" s="21" t="s">
        <v>195</v>
      </c>
      <c r="B8" s="22" t="n">
        <f aca="false">2024_Basis_Control!B35-B9</f>
        <v>265.512415</v>
      </c>
      <c r="C8" s="25" t="n">
        <f aca="false">B8*10%</f>
        <v>26.5512415</v>
      </c>
      <c r="D8" s="25" t="n">
        <f aca="false">B8*3%</f>
        <v>7.96537245</v>
      </c>
      <c r="E8" s="25" t="n">
        <f aca="false">B8*5%</f>
        <v>13.27562075</v>
      </c>
      <c r="F8" s="21" t="s">
        <v>196</v>
      </c>
    </row>
    <row r="9" customFormat="false" ht="15" hidden="false" customHeight="true" outlineLevel="0" collapsed="false">
      <c r="A9" s="21" t="s">
        <v>197</v>
      </c>
      <c r="B9" s="22" t="n">
        <v>34.487585</v>
      </c>
      <c r="C9" s="25" t="n">
        <f aca="false">B9*10%</f>
        <v>3.4487585</v>
      </c>
      <c r="D9" s="25" t="n">
        <f aca="false">B9*3%</f>
        <v>1.03462755</v>
      </c>
      <c r="E9" s="25" t="n">
        <f aca="false">B9*5%</f>
        <v>1.72437925</v>
      </c>
      <c r="F9" s="21" t="s">
        <v>198</v>
      </c>
    </row>
    <row r="10" customFormat="false" ht="15" hidden="false" customHeight="true" outlineLevel="0" collapsed="false">
      <c r="A10" s="21" t="s">
        <v>199</v>
      </c>
      <c r="B10" s="26" t="n">
        <f aca="false">2024_Basis_Control!B20</f>
        <v>1600</v>
      </c>
      <c r="C10" s="25" t="n">
        <f aca="false">B10*10%</f>
        <v>160</v>
      </c>
      <c r="D10" s="25" t="n">
        <f aca="false">B10*3%</f>
        <v>48</v>
      </c>
      <c r="E10" s="25" t="n">
        <f aca="false">B10*5%</f>
        <v>80</v>
      </c>
      <c r="F10" s="21" t="s">
        <v>200</v>
      </c>
    </row>
    <row r="11" customFormat="false" ht="15" hidden="false" customHeight="true" outlineLevel="0" collapsed="false">
      <c r="A11" s="21" t="s">
        <v>167</v>
      </c>
      <c r="B11" s="22" t="n">
        <v>437.77558</v>
      </c>
      <c r="C11" s="25" t="n">
        <f aca="false">B11*10%</f>
        <v>43.777558</v>
      </c>
      <c r="D11" s="25" t="n">
        <f aca="false">B11*3%</f>
        <v>13.1332674</v>
      </c>
      <c r="E11" s="25" t="n">
        <f aca="false">B11*5%</f>
        <v>21.888779</v>
      </c>
      <c r="F11" s="21" t="s">
        <v>201</v>
      </c>
    </row>
    <row r="12" customFormat="false" ht="15" hidden="false" customHeight="true" outlineLevel="0" collapsed="false">
      <c r="A12" s="21" t="s">
        <v>171</v>
      </c>
      <c r="B12" s="22" t="n">
        <v>858.038339</v>
      </c>
      <c r="C12" s="25" t="n">
        <f aca="false">B12*10%</f>
        <v>85.8038339</v>
      </c>
      <c r="D12" s="25" t="n">
        <f aca="false">B12*3%</f>
        <v>25.74115017</v>
      </c>
      <c r="E12" s="25" t="n">
        <f aca="false">B12*5%</f>
        <v>42.90191695</v>
      </c>
      <c r="F12" s="21" t="s">
        <v>201</v>
      </c>
    </row>
    <row r="13" customFormat="false" ht="15" hidden="false" customHeight="true" outlineLevel="0" collapsed="false">
      <c r="A13" s="21" t="s">
        <v>202</v>
      </c>
      <c r="B13" s="22" t="n">
        <v>51.308665</v>
      </c>
      <c r="C13" s="25" t="n">
        <f aca="false">B13*10%</f>
        <v>5.1308665</v>
      </c>
      <c r="D13" s="25" t="n">
        <f aca="false">B13*3%</f>
        <v>1.53925995</v>
      </c>
      <c r="E13" s="25" t="n">
        <f aca="false">B13*5%</f>
        <v>2.56543325</v>
      </c>
      <c r="F13" s="21" t="s">
        <v>203</v>
      </c>
    </row>
    <row r="14" customFormat="false" ht="15" hidden="false" customHeight="true" outlineLevel="0" collapsed="false">
      <c r="A14" s="21" t="s">
        <v>204</v>
      </c>
      <c r="B14" s="22" t="n">
        <v>29.744257</v>
      </c>
      <c r="C14" s="25" t="n">
        <f aca="false">B14*10%</f>
        <v>2.9744257</v>
      </c>
      <c r="D14" s="25" t="n">
        <f aca="false">B14*3%</f>
        <v>0.89232771</v>
      </c>
      <c r="E14" s="25" t="n">
        <f aca="false">B14*5%</f>
        <v>1.48721285</v>
      </c>
      <c r="F14" s="21" t="s">
        <v>205</v>
      </c>
    </row>
    <row r="15" customFormat="false" ht="15" hidden="false" customHeight="true" outlineLevel="0" collapsed="false">
      <c r="A15" s="21" t="s">
        <v>175</v>
      </c>
      <c r="B15" s="22" t="n">
        <v>275</v>
      </c>
      <c r="C15" s="25" t="n">
        <f aca="false">B15*10%</f>
        <v>27.5</v>
      </c>
      <c r="D15" s="25" t="n">
        <f aca="false">B15*3%</f>
        <v>8.25</v>
      </c>
      <c r="E15" s="25" t="n">
        <f aca="false">B15*5%</f>
        <v>13.75</v>
      </c>
      <c r="F15" s="21" t="s">
        <v>206</v>
      </c>
    </row>
    <row r="16" customFormat="false" ht="15" hidden="false" customHeight="true" outlineLevel="0" collapsed="false">
      <c r="A16" s="27" t="s">
        <v>207</v>
      </c>
      <c r="B16" s="28" t="n">
        <f aca="false">SUM(B4:B15)</f>
        <v>20470.757841</v>
      </c>
      <c r="C16" s="28" t="n">
        <f aca="false">SUM(C4:C15)</f>
        <v>2047.0757841</v>
      </c>
      <c r="D16" s="28" t="n">
        <f aca="false">SUM(D4:D15)</f>
        <v>614.12273523</v>
      </c>
      <c r="E16" s="28" t="n">
        <f aca="false">SUM(E4:E15)</f>
        <v>1023.53789205</v>
      </c>
      <c r="F16" s="27" t="s">
        <v>208</v>
      </c>
    </row>
    <row r="17" customFormat="false" ht="15" hidden="false" customHeight="true" outlineLevel="0" collapsed="false">
      <c r="B17" s="29"/>
      <c r="C17" s="29"/>
      <c r="D17" s="29"/>
      <c r="E17" s="29"/>
    </row>
    <row r="18" customFormat="false" ht="15" hidden="false" customHeight="true" outlineLevel="0" collapsed="false">
      <c r="A18" s="30" t="s">
        <v>209</v>
      </c>
      <c r="B18" s="30"/>
      <c r="C18" s="30"/>
      <c r="D18" s="30"/>
      <c r="E18" s="30"/>
      <c r="F18" s="30"/>
    </row>
    <row r="19" customFormat="false" ht="23.25" hidden="false" customHeight="true" outlineLevel="0" collapsed="false">
      <c r="A19" s="19" t="s">
        <v>210</v>
      </c>
      <c r="B19" s="31" t="s">
        <v>183</v>
      </c>
      <c r="C19" s="31" t="s">
        <v>211</v>
      </c>
      <c r="D19" s="31" t="s">
        <v>212</v>
      </c>
      <c r="E19" s="31" t="s">
        <v>213</v>
      </c>
      <c r="F19" s="19" t="s">
        <v>214</v>
      </c>
    </row>
    <row r="20" customFormat="false" ht="45.75" hidden="false" customHeight="true" outlineLevel="0" collapsed="false">
      <c r="A20" s="21" t="s">
        <v>172</v>
      </c>
      <c r="B20" s="22" t="n">
        <v>50.110198</v>
      </c>
      <c r="C20" s="32" t="n">
        <v>0.03</v>
      </c>
      <c r="D20" s="25" t="n">
        <f aca="false">B20*C20</f>
        <v>1.50330594</v>
      </c>
      <c r="E20" s="25" t="s">
        <v>215</v>
      </c>
      <c r="F20" s="21" t="s">
        <v>216</v>
      </c>
    </row>
    <row r="21" customFormat="false" ht="79.5" hidden="false" customHeight="true" outlineLevel="0" collapsed="false">
      <c r="A21" s="21" t="s">
        <v>217</v>
      </c>
      <c r="B21" s="33" t="n">
        <f aca="false">Anti_Deferral_Tax!B9</f>
        <v>282.709956</v>
      </c>
      <c r="C21" s="34" t="n">
        <v>0.1</v>
      </c>
      <c r="D21" s="33" t="n">
        <f aca="false">Anti_Deferral_Tax!D9</f>
        <v>28.2709956</v>
      </c>
      <c r="E21" s="25" t="s">
        <v>218</v>
      </c>
      <c r="F21" s="21" t="s">
        <v>219</v>
      </c>
    </row>
    <row r="23" customFormat="false" ht="15" hidden="false" customHeight="true" outlineLevel="0" collapsed="false">
      <c r="A23" s="30" t="s">
        <v>220</v>
      </c>
      <c r="B23" s="30"/>
      <c r="C23" s="30"/>
      <c r="D23" s="30"/>
      <c r="E23" s="30"/>
      <c r="F23" s="30"/>
    </row>
    <row r="24" customFormat="false" ht="23.25" hidden="false" customHeight="true" outlineLevel="0" collapsed="false">
      <c r="A24" s="21" t="s">
        <v>221</v>
      </c>
      <c r="B24" s="21"/>
      <c r="C24" s="21"/>
      <c r="D24" s="21"/>
      <c r="E24" s="21" t="s">
        <v>222</v>
      </c>
      <c r="F24" s="21"/>
    </row>
    <row r="25" customFormat="false" ht="34.5" hidden="false" customHeight="true" outlineLevel="0" collapsed="false">
      <c r="A25" s="21" t="s">
        <v>223</v>
      </c>
      <c r="B25" s="21"/>
      <c r="C25" s="21"/>
      <c r="D25" s="21"/>
      <c r="E25" s="21" t="s">
        <v>224</v>
      </c>
      <c r="F25" s="21"/>
    </row>
    <row r="26" customFormat="false" ht="34.5" hidden="false" customHeight="true" outlineLevel="0" collapsed="false">
      <c r="A26" s="21" t="s">
        <v>225</v>
      </c>
      <c r="B26" s="21"/>
      <c r="C26" s="21"/>
      <c r="D26" s="21"/>
      <c r="E26" s="21" t="s">
        <v>226</v>
      </c>
      <c r="F26" s="21"/>
    </row>
    <row r="27" customFormat="false" ht="23.25" hidden="false" customHeight="true" outlineLevel="0" collapsed="false">
      <c r="A27" s="21" t="s">
        <v>227</v>
      </c>
      <c r="B27" s="21"/>
      <c r="C27" s="21"/>
      <c r="D27" s="21"/>
      <c r="E27" s="21" t="s">
        <v>228</v>
      </c>
      <c r="F27" s="21"/>
    </row>
    <row r="29" customFormat="false" ht="23.25" hidden="false" customHeight="true" outlineLevel="0" collapsed="false">
      <c r="A29" s="24" t="s">
        <v>229</v>
      </c>
      <c r="B29" s="24"/>
      <c r="C29" s="24"/>
      <c r="D29" s="24"/>
      <c r="E29" s="24"/>
      <c r="F29" s="24"/>
    </row>
  </sheetData>
  <mergeCells count="5">
    <mergeCell ref="A1:F1"/>
    <mergeCell ref="A2:F2"/>
    <mergeCell ref="A18:F18"/>
    <mergeCell ref="A23:F23"/>
    <mergeCell ref="A29:F2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6"/>
    <col collapsed="false" customWidth="true" hidden="false" outlineLevel="0" max="2" min="2" style="17" width="38"/>
    <col collapsed="false" customWidth="true" hidden="false" outlineLevel="0" max="5" min="3" style="17" width="18"/>
    <col collapsed="false" customWidth="true" hidden="false" outlineLevel="0" max="6" min="6" style="17" width="58"/>
  </cols>
  <sheetData>
    <row r="1" customFormat="false" ht="27.75" hidden="false" customHeight="true" outlineLevel="0" collapsed="false">
      <c r="A1" s="35" t="s">
        <v>230</v>
      </c>
      <c r="B1" s="35"/>
      <c r="C1" s="35"/>
      <c r="D1" s="35"/>
      <c r="E1" s="35"/>
      <c r="F1" s="35"/>
      <c r="G1" s="4"/>
      <c r="H1" s="4"/>
      <c r="I1" s="4"/>
      <c r="J1" s="4"/>
      <c r="K1" s="4"/>
    </row>
    <row r="2" customFormat="false" ht="15" hidden="false" customHeight="true" outlineLevel="0" collapsed="false">
      <c r="A2" s="36" t="s">
        <v>231</v>
      </c>
      <c r="B2" s="36"/>
      <c r="C2" s="36"/>
      <c r="D2" s="36"/>
      <c r="E2" s="36"/>
      <c r="F2" s="36"/>
      <c r="G2" s="4"/>
      <c r="H2" s="4"/>
      <c r="I2" s="4"/>
      <c r="J2" s="4"/>
      <c r="K2" s="4"/>
    </row>
    <row r="3" customFormat="false" ht="15" hidden="false" customHeight="true" outlineLevel="0" collapsed="false">
      <c r="A3" s="37" t="s">
        <v>232</v>
      </c>
      <c r="B3" s="37" t="s">
        <v>233</v>
      </c>
      <c r="C3" s="37" t="s">
        <v>211</v>
      </c>
      <c r="D3" s="37" t="s">
        <v>234</v>
      </c>
      <c r="E3" s="37" t="s">
        <v>235</v>
      </c>
      <c r="F3" s="37" t="s">
        <v>236</v>
      </c>
      <c r="G3" s="4"/>
      <c r="H3" s="4"/>
      <c r="I3" s="4"/>
      <c r="J3" s="4"/>
      <c r="K3" s="4"/>
    </row>
    <row r="4" customFormat="false" ht="15" hidden="false" customHeight="true" outlineLevel="0" collapsed="false">
      <c r="A4" s="21" t="s">
        <v>237</v>
      </c>
      <c r="B4" s="21" t="s">
        <v>238</v>
      </c>
      <c r="C4" s="32" t="n">
        <v>0.1</v>
      </c>
      <c r="D4" s="38" t="n">
        <f aca="false">Liquid_Income_Base!C16</f>
        <v>2047.0757841</v>
      </c>
      <c r="E4" s="21" t="s">
        <v>239</v>
      </c>
      <c r="F4" s="21" t="s">
        <v>240</v>
      </c>
      <c r="G4" s="4"/>
      <c r="H4" s="4"/>
      <c r="I4" s="4"/>
      <c r="J4" s="4"/>
      <c r="K4" s="4"/>
    </row>
    <row r="5" customFormat="false" ht="24" hidden="false" customHeight="true" outlineLevel="0" collapsed="false">
      <c r="A5" s="21" t="s">
        <v>241</v>
      </c>
      <c r="B5" s="21" t="s">
        <v>242</v>
      </c>
      <c r="C5" s="32" t="n">
        <v>0.1</v>
      </c>
      <c r="D5" s="38" t="n">
        <f aca="false">Corporate_Tax_Clear!E11</f>
        <v>390.416</v>
      </c>
      <c r="E5" s="21" t="s">
        <v>239</v>
      </c>
      <c r="F5" s="21" t="s">
        <v>243</v>
      </c>
      <c r="G5" s="4"/>
      <c r="H5" s="4"/>
      <c r="I5" s="4"/>
      <c r="J5" s="4"/>
      <c r="K5" s="4"/>
    </row>
    <row r="6" customFormat="false" ht="15" hidden="false" customHeight="true" outlineLevel="0" collapsed="false">
      <c r="A6" s="21" t="s">
        <v>244</v>
      </c>
      <c r="B6" s="21" t="s">
        <v>245</v>
      </c>
      <c r="C6" s="32" t="n">
        <v>0.03</v>
      </c>
      <c r="D6" s="38" t="n">
        <f aca="false">Liquid_Income_Base!D20</f>
        <v>1.50330594</v>
      </c>
      <c r="E6" s="21" t="s">
        <v>239</v>
      </c>
      <c r="F6" s="21" t="s">
        <v>246</v>
      </c>
      <c r="G6" s="4"/>
      <c r="H6" s="4"/>
      <c r="I6" s="4"/>
      <c r="J6" s="4"/>
      <c r="K6" s="4"/>
    </row>
    <row r="7" customFormat="false" ht="15" hidden="false" customHeight="true" outlineLevel="0" collapsed="false">
      <c r="A7" s="21" t="s">
        <v>217</v>
      </c>
      <c r="B7" s="21" t="s">
        <v>247</v>
      </c>
      <c r="C7" s="32" t="n">
        <v>0.1</v>
      </c>
      <c r="D7" s="38" t="n">
        <f aca="false">Anti_Deferral_Tax!D9</f>
        <v>28.2709956</v>
      </c>
      <c r="E7" s="21" t="s">
        <v>239</v>
      </c>
      <c r="F7" s="21" t="s">
        <v>248</v>
      </c>
      <c r="G7" s="4"/>
      <c r="H7" s="4"/>
      <c r="I7" s="4"/>
      <c r="J7" s="4"/>
      <c r="K7" s="4"/>
    </row>
    <row r="8" customFormat="false" ht="24" hidden="false" customHeight="true" outlineLevel="0" collapsed="false">
      <c r="A8" s="21" t="s">
        <v>249</v>
      </c>
      <c r="B8" s="21" t="s">
        <v>250</v>
      </c>
      <c r="C8" s="32" t="n">
        <v>0.09</v>
      </c>
      <c r="D8" s="38" t="n">
        <f aca="false">Equity_Compensation!D19</f>
        <v>33.003</v>
      </c>
      <c r="E8" s="21" t="s">
        <v>239</v>
      </c>
      <c r="F8" s="21" t="s">
        <v>251</v>
      </c>
      <c r="G8" s="4"/>
      <c r="H8" s="4"/>
      <c r="I8" s="4"/>
      <c r="J8" s="4"/>
      <c r="K8" s="4"/>
    </row>
    <row r="9" customFormat="false" ht="24" hidden="false" customHeight="true" outlineLevel="0" collapsed="false">
      <c r="A9" s="21" t="s">
        <v>252</v>
      </c>
      <c r="B9" s="21" t="s">
        <v>253</v>
      </c>
      <c r="C9" s="32" t="n">
        <v>0.1</v>
      </c>
      <c r="D9" s="38" t="n">
        <f aca="false">Outsourcing_Penalty!D9</f>
        <v>142.920192789</v>
      </c>
      <c r="E9" s="21" t="s">
        <v>239</v>
      </c>
      <c r="F9" s="21" t="s">
        <v>254</v>
      </c>
      <c r="G9" s="4"/>
      <c r="H9" s="4"/>
      <c r="I9" s="4"/>
      <c r="J9" s="4"/>
      <c r="K9" s="4"/>
    </row>
    <row r="10" customFormat="false" ht="15" hidden="false" customHeight="true" outlineLevel="0" collapsed="false">
      <c r="A10" s="21" t="s">
        <v>255</v>
      </c>
      <c r="B10" s="21" t="s">
        <v>256</v>
      </c>
      <c r="C10" s="32"/>
      <c r="D10" s="38" t="n">
        <f aca="false">Fair_Profit_Study!I16</f>
        <v>3.307053161</v>
      </c>
      <c r="E10" s="21" t="s">
        <v>239</v>
      </c>
      <c r="F10" s="21" t="s">
        <v>257</v>
      </c>
      <c r="G10" s="4"/>
      <c r="H10" s="4"/>
      <c r="I10" s="4"/>
      <c r="J10" s="4"/>
      <c r="K10" s="4"/>
    </row>
    <row r="11" customFormat="false" ht="15" hidden="false" customHeight="true" outlineLevel="0" collapsed="false">
      <c r="A11" s="21" t="s">
        <v>258</v>
      </c>
      <c r="B11" s="21" t="s">
        <v>259</v>
      </c>
      <c r="C11" s="32"/>
      <c r="D11" s="38" t="n">
        <f aca="false">Loan_Scumming!D14</f>
        <v>7.95</v>
      </c>
      <c r="E11" s="21" t="s">
        <v>239</v>
      </c>
      <c r="F11" s="21" t="s">
        <v>260</v>
      </c>
      <c r="G11" s="4"/>
      <c r="H11" s="4"/>
      <c r="I11" s="4"/>
      <c r="J11" s="4"/>
      <c r="K11" s="4"/>
    </row>
    <row r="12" customFormat="false" ht="15" hidden="false" customHeight="true" outlineLevel="0" collapsed="false">
      <c r="A12" s="21" t="s">
        <v>261</v>
      </c>
      <c r="B12" s="21" t="s">
        <v>262</v>
      </c>
      <c r="C12" s="32" t="n">
        <v>0.01</v>
      </c>
      <c r="D12" s="38" t="n">
        <f aca="false">Protectorate_Fee!F82</f>
        <v>151.4038</v>
      </c>
      <c r="E12" s="21" t="s">
        <v>239</v>
      </c>
      <c r="F12" s="21" t="s">
        <v>263</v>
      </c>
      <c r="G12" s="4"/>
      <c r="H12" s="4"/>
      <c r="I12" s="4"/>
      <c r="J12" s="4"/>
      <c r="K12" s="4"/>
    </row>
    <row r="13" customFormat="false" ht="24" hidden="false" customHeight="true" outlineLevel="0" collapsed="false">
      <c r="A13" s="21" t="s">
        <v>264</v>
      </c>
      <c r="B13" s="21" t="s">
        <v>265</v>
      </c>
      <c r="C13" s="32" t="n">
        <v>0.05</v>
      </c>
      <c r="D13" s="39" t="n">
        <f aca="false">Luxury_Tax!F10</f>
        <v>12.06373</v>
      </c>
      <c r="E13" s="21" t="s">
        <v>239</v>
      </c>
      <c r="F13" s="21" t="s">
        <v>266</v>
      </c>
      <c r="G13" s="4"/>
      <c r="H13" s="4"/>
      <c r="I13" s="4"/>
      <c r="J13" s="4"/>
      <c r="K13" s="4"/>
    </row>
    <row r="14" customFormat="false" ht="24" hidden="false" customHeight="true" outlineLevel="0" collapsed="false">
      <c r="A14" s="21" t="s">
        <v>14</v>
      </c>
      <c r="B14" s="21" t="s">
        <v>267</v>
      </c>
      <c r="C14" s="32" t="n">
        <v>0.3</v>
      </c>
      <c r="D14" s="38" t="n">
        <f aca="false">Citizen_Data_Royalty!J13</f>
        <v>73.9595975475</v>
      </c>
      <c r="E14" s="21" t="s">
        <v>268</v>
      </c>
      <c r="F14" s="21" t="s">
        <v>269</v>
      </c>
      <c r="G14" s="4"/>
      <c r="H14" s="4"/>
      <c r="I14" s="4"/>
      <c r="J14" s="4"/>
      <c r="K14" s="4"/>
    </row>
    <row r="15" customFormat="false" ht="23.25" hidden="false" customHeight="true" outlineLevel="0" collapsed="false">
      <c r="A15" s="21" t="s">
        <v>270</v>
      </c>
      <c r="B15" s="21" t="s">
        <v>271</v>
      </c>
      <c r="C15" s="32" t="n">
        <v>0.05</v>
      </c>
      <c r="D15" s="38" t="n">
        <f aca="false">2024_Basis_Control!B37*C15</f>
        <v>26.5</v>
      </c>
      <c r="E15" s="21" t="s">
        <v>272</v>
      </c>
      <c r="F15" s="21" t="s">
        <v>273</v>
      </c>
      <c r="G15" s="4"/>
      <c r="H15" s="4"/>
      <c r="I15" s="4"/>
      <c r="J15" s="4"/>
      <c r="K15" s="4"/>
    </row>
    <row r="16" customFormat="false" ht="15" hidden="false" customHeight="true" outlineLevel="0" collapsed="false">
      <c r="A16" s="21" t="s">
        <v>274</v>
      </c>
      <c r="B16" s="21" t="s">
        <v>275</v>
      </c>
      <c r="C16" s="32"/>
      <c r="D16" s="38" t="n">
        <f aca="false">2024_Basis_Control!B16</f>
        <v>2232.929</v>
      </c>
      <c r="E16" s="21" t="s">
        <v>239</v>
      </c>
      <c r="F16" s="21" t="s">
        <v>276</v>
      </c>
      <c r="G16" s="4"/>
      <c r="H16" s="4"/>
      <c r="I16" s="4"/>
      <c r="J16" s="4"/>
      <c r="K16" s="4"/>
    </row>
    <row r="17" customFormat="false" ht="15" hidden="false" customHeight="true" outlineLevel="0" collapsed="false">
      <c r="A17" s="21" t="s">
        <v>277</v>
      </c>
      <c r="B17" s="21" t="s">
        <v>278</v>
      </c>
      <c r="C17" s="32" t="n">
        <v>0.01</v>
      </c>
      <c r="D17" s="38" t="n">
        <f aca="false">Resource_Royalty!D6</f>
        <v>7.53102</v>
      </c>
      <c r="E17" s="21" t="s">
        <v>239</v>
      </c>
      <c r="F17" s="21" t="s">
        <v>279</v>
      </c>
      <c r="G17" s="4"/>
      <c r="H17" s="4"/>
      <c r="I17" s="4"/>
      <c r="J17" s="4"/>
      <c r="K17" s="4"/>
    </row>
    <row r="18" customFormat="false" ht="23.25" hidden="false" customHeight="true" outlineLevel="0" collapsed="false">
      <c r="A18" s="40" t="s">
        <v>280</v>
      </c>
      <c r="B18" s="40" t="s">
        <v>281</v>
      </c>
      <c r="C18" s="41" t="n">
        <v>0.05</v>
      </c>
      <c r="D18" s="42" t="n">
        <f aca="false">Energy_Export_Excise!D12</f>
        <v>16.84285</v>
      </c>
      <c r="E18" s="40" t="s">
        <v>239</v>
      </c>
      <c r="F18" s="40" t="s">
        <v>282</v>
      </c>
      <c r="G18" s="4"/>
      <c r="H18" s="4"/>
      <c r="I18" s="4"/>
      <c r="J18" s="4"/>
      <c r="K18" s="4"/>
    </row>
    <row r="19" customFormat="false" ht="23.25" hidden="false" customHeight="true" outlineLevel="0" collapsed="false">
      <c r="A19" s="4" t="s">
        <v>160</v>
      </c>
      <c r="B19" s="4" t="s">
        <v>283</v>
      </c>
      <c r="C19" s="43"/>
      <c r="D19" s="44" t="n">
        <v>253</v>
      </c>
      <c r="E19" s="4" t="s">
        <v>239</v>
      </c>
      <c r="F19" s="4" t="s">
        <v>284</v>
      </c>
      <c r="G19" s="4"/>
      <c r="H19" s="4"/>
      <c r="I19" s="4"/>
      <c r="J19" s="4"/>
      <c r="K19" s="4"/>
    </row>
    <row r="20" customFormat="false" ht="23.25" hidden="false" customHeight="true" outlineLevel="0" collapsed="false">
      <c r="A20" s="4" t="s">
        <v>285</v>
      </c>
      <c r="B20" s="4" t="s">
        <v>286</v>
      </c>
      <c r="C20" s="43" t="n">
        <v>0.01</v>
      </c>
      <c r="D20" s="44" t="n">
        <f aca="false">Idle_Wealth_Levy!F13</f>
        <v>47.7145046</v>
      </c>
      <c r="E20" s="4" t="s">
        <v>239</v>
      </c>
      <c r="F20" s="4" t="s">
        <v>287</v>
      </c>
      <c r="G20" s="4"/>
      <c r="H20" s="4"/>
      <c r="I20" s="4"/>
      <c r="J20" s="4"/>
      <c r="K20" s="4"/>
    </row>
    <row r="21" customFormat="false" ht="23.25" hidden="false" customHeight="true" outlineLevel="0" collapsed="false">
      <c r="A21" s="45" t="s">
        <v>288</v>
      </c>
      <c r="B21" s="45" t="s">
        <v>289</v>
      </c>
      <c r="C21" s="45" t="n">
        <v>0.1</v>
      </c>
      <c r="D21" s="46" t="n">
        <f aca="false">Offshore_Capital_Duty!F12</f>
        <v>19.2</v>
      </c>
      <c r="E21" s="45" t="s">
        <v>239</v>
      </c>
      <c r="F21" s="45" t="s">
        <v>290</v>
      </c>
      <c r="G21" s="4"/>
      <c r="H21" s="4"/>
      <c r="I21" s="4"/>
      <c r="J21" s="4"/>
      <c r="K21" s="4"/>
    </row>
    <row r="22" customFormat="false" ht="23.25" hidden="false" customHeight="true" outlineLevel="0" collapsed="false">
      <c r="A22" s="45" t="s">
        <v>291</v>
      </c>
      <c r="B22" s="45" t="s">
        <v>292</v>
      </c>
      <c r="C22" s="45"/>
      <c r="D22" s="46" t="n">
        <f aca="false">High_Wealth_Compliance!F9</f>
        <v>38</v>
      </c>
      <c r="E22" s="45" t="s">
        <v>239</v>
      </c>
      <c r="F22" s="45" t="s">
        <v>293</v>
      </c>
      <c r="G22" s="4"/>
      <c r="H22" s="4"/>
      <c r="I22" s="4"/>
      <c r="J22" s="4"/>
      <c r="K22" s="4"/>
    </row>
    <row r="23" customFormat="false" ht="23.25" hidden="false" customHeight="true" outlineLevel="0" collapsed="false">
      <c r="A23" s="45" t="s">
        <v>294</v>
      </c>
      <c r="B23" s="45" t="s">
        <v>295</v>
      </c>
      <c r="C23" s="45"/>
      <c r="D23" s="46" t="n">
        <v>-4</v>
      </c>
      <c r="E23" s="45" t="s">
        <v>239</v>
      </c>
      <c r="F23" s="45" t="s">
        <v>296</v>
      </c>
      <c r="G23" s="4"/>
      <c r="H23" s="4"/>
      <c r="I23" s="4"/>
      <c r="J23" s="4"/>
      <c r="K23" s="4"/>
    </row>
    <row r="24" customFormat="false" ht="23.25" hidden="false" customHeight="true" outlineLevel="0" collapsed="false">
      <c r="A24" s="4" t="s">
        <v>297</v>
      </c>
      <c r="B24" s="4" t="s">
        <v>298</v>
      </c>
      <c r="C24" s="4" t="n">
        <v>25</v>
      </c>
      <c r="D24" s="47" t="n">
        <v>107.4</v>
      </c>
      <c r="E24" s="4" t="s">
        <v>239</v>
      </c>
      <c r="F24" s="4" t="s">
        <v>299</v>
      </c>
      <c r="G24" s="4"/>
      <c r="H24" s="4"/>
      <c r="I24" s="4"/>
      <c r="J24" s="4"/>
      <c r="K24" s="4"/>
    </row>
    <row r="25" customFormat="false" ht="23.25" hidden="false" customHeight="true" outlineLevel="0" collapsed="false">
      <c r="A25" s="4" t="s">
        <v>300</v>
      </c>
      <c r="B25" s="4" t="s">
        <v>301</v>
      </c>
      <c r="C25" s="4"/>
      <c r="D25" s="47" t="n">
        <v>5</v>
      </c>
      <c r="E25" s="4" t="s">
        <v>239</v>
      </c>
      <c r="F25" s="4" t="s">
        <v>302</v>
      </c>
      <c r="G25" s="4"/>
      <c r="H25" s="4"/>
      <c r="I25" s="4"/>
      <c r="J25" s="4"/>
      <c r="K25" s="4"/>
    </row>
    <row r="26" customFormat="false" ht="23.25" hidden="false" customHeight="true" outlineLevel="0" collapsed="false">
      <c r="A26" s="4" t="s">
        <v>303</v>
      </c>
      <c r="B26" s="4" t="s">
        <v>304</v>
      </c>
      <c r="C26" s="4"/>
      <c r="D26" s="47" t="n">
        <v>0.4</v>
      </c>
      <c r="E26" s="4" t="s">
        <v>239</v>
      </c>
      <c r="F26" s="4" t="s">
        <v>305</v>
      </c>
      <c r="G26" s="4"/>
      <c r="H26" s="4"/>
      <c r="I26" s="4"/>
      <c r="J26" s="4"/>
      <c r="K26" s="4"/>
    </row>
    <row r="27" customFormat="false" ht="23.25" hidden="false" customHeight="true" outlineLevel="0" collapsed="false">
      <c r="A27" s="4" t="s">
        <v>306</v>
      </c>
      <c r="B27" s="4" t="s">
        <v>307</v>
      </c>
      <c r="C27" s="4"/>
      <c r="D27" s="47" t="n">
        <v>2</v>
      </c>
      <c r="E27" s="4" t="s">
        <v>239</v>
      </c>
      <c r="F27" s="4" t="s">
        <v>308</v>
      </c>
      <c r="G27" s="4"/>
      <c r="H27" s="4"/>
      <c r="I27" s="4"/>
      <c r="J27" s="4"/>
      <c r="K27" s="4"/>
    </row>
    <row r="28" customFormat="false" ht="23.25" hidden="false" customHeight="true" outlineLevel="0" collapsed="false">
      <c r="A28" s="4" t="s">
        <v>309</v>
      </c>
      <c r="B28" s="4" t="s">
        <v>310</v>
      </c>
      <c r="C28" s="4"/>
      <c r="D28" s="47" t="n">
        <v>10</v>
      </c>
      <c r="E28" s="4" t="s">
        <v>239</v>
      </c>
      <c r="F28" s="4" t="s">
        <v>311</v>
      </c>
      <c r="G28" s="4"/>
      <c r="H28" s="4"/>
      <c r="I28" s="4"/>
      <c r="J28" s="4"/>
      <c r="K28" s="4"/>
    </row>
    <row r="29" customFormat="false" ht="23.25" hidden="false" customHeight="true" outlineLevel="0" collapsed="false">
      <c r="A29" s="4" t="s">
        <v>312</v>
      </c>
      <c r="B29" s="4" t="s">
        <v>313</v>
      </c>
      <c r="C29" s="4"/>
      <c r="D29" s="47" t="n">
        <v>3.5</v>
      </c>
      <c r="E29" s="4" t="s">
        <v>239</v>
      </c>
      <c r="F29" s="4" t="s">
        <v>314</v>
      </c>
      <c r="G29" s="4"/>
      <c r="H29" s="4"/>
      <c r="I29" s="4"/>
      <c r="J29" s="4"/>
      <c r="K29" s="4"/>
    </row>
    <row r="30" customFormat="false" ht="23.25" hidden="false" customHeight="true" outlineLevel="0" collapsed="false">
      <c r="A30" s="4" t="s">
        <v>315</v>
      </c>
      <c r="B30" s="4" t="s">
        <v>316</v>
      </c>
      <c r="C30" s="4"/>
      <c r="D30" s="47" t="n">
        <v>3</v>
      </c>
      <c r="E30" s="4" t="s">
        <v>239</v>
      </c>
      <c r="F30" s="4" t="s">
        <v>317</v>
      </c>
      <c r="G30" s="4"/>
      <c r="H30" s="4"/>
      <c r="I30" s="4"/>
      <c r="J30" s="4"/>
      <c r="K30" s="4"/>
    </row>
    <row r="31" customFormat="false" ht="15" hidden="false" customHeight="true" outlineLevel="0" collapsed="false">
      <c r="A31" s="4" t="s">
        <v>318</v>
      </c>
      <c r="B31" s="4" t="s">
        <v>319</v>
      </c>
      <c r="C31" s="4"/>
      <c r="D31" s="47" t="n">
        <v>0.5</v>
      </c>
      <c r="E31" s="4" t="s">
        <v>239</v>
      </c>
      <c r="F31" s="4" t="s">
        <v>320</v>
      </c>
      <c r="G31" s="4"/>
      <c r="H31" s="4"/>
      <c r="I31" s="4"/>
      <c r="J31" s="4"/>
      <c r="K31" s="4"/>
    </row>
    <row r="32" customFormat="false" ht="23.25" hidden="false" customHeight="true" outlineLevel="0" collapsed="false">
      <c r="A32" s="4" t="s">
        <v>321</v>
      </c>
      <c r="B32" s="4" t="s">
        <v>322</v>
      </c>
      <c r="C32" s="4"/>
      <c r="D32" s="47" t="n">
        <v>150</v>
      </c>
      <c r="E32" s="4" t="s">
        <v>239</v>
      </c>
      <c r="F32" s="4" t="s">
        <v>323</v>
      </c>
      <c r="G32" s="4"/>
      <c r="H32" s="4"/>
      <c r="I32" s="4"/>
      <c r="J32" s="4"/>
      <c r="K32" s="4"/>
    </row>
    <row r="33" customFormat="false" ht="15" hidden="false" customHeight="true" outlineLevel="0" collapsed="false">
      <c r="A33" s="4" t="s">
        <v>324</v>
      </c>
      <c r="B33" s="4" t="s">
        <v>325</v>
      </c>
      <c r="C33" s="4"/>
      <c r="D33" s="47" t="n">
        <f aca="false">SUM(D4:D13)+SUM(D16:D23)+SUM(D24:D32)</f>
        <v>5710.93123619</v>
      </c>
      <c r="E33" s="4" t="s">
        <v>239</v>
      </c>
      <c r="F33" s="4" t="s">
        <v>326</v>
      </c>
      <c r="G33" s="4"/>
      <c r="H33" s="4"/>
      <c r="I33" s="4"/>
      <c r="J33" s="4"/>
      <c r="K33" s="4"/>
    </row>
    <row r="34" customFormat="false" ht="23.25" hidden="false" customHeight="true" outlineLevel="0" collapsed="false">
      <c r="A34" s="4" t="s">
        <v>327</v>
      </c>
      <c r="B34" s="4" t="s">
        <v>328</v>
      </c>
      <c r="C34" s="4"/>
      <c r="D34" s="47" t="n">
        <f aca="false">D33+D14</f>
        <v>5784.8908337375</v>
      </c>
      <c r="E34" s="4" t="s">
        <v>329</v>
      </c>
      <c r="F34" s="4" t="s">
        <v>330</v>
      </c>
      <c r="G34" s="4"/>
      <c r="H34" s="4"/>
      <c r="I34" s="4"/>
      <c r="J34" s="4"/>
      <c r="K34" s="4"/>
    </row>
    <row r="35" customFormat="false" ht="15" hidden="false" customHeight="true" outlineLevel="0" collapsed="false">
      <c r="A35" s="4" t="s">
        <v>331</v>
      </c>
      <c r="B35" s="4" t="s">
        <v>332</v>
      </c>
      <c r="C35" s="4"/>
      <c r="D35" s="47" t="n">
        <v>73.9595975475</v>
      </c>
      <c r="E35" s="4" t="s">
        <v>333</v>
      </c>
      <c r="F35" s="4" t="s">
        <v>334</v>
      </c>
      <c r="G35" s="4"/>
      <c r="H35" s="4"/>
      <c r="I35" s="4"/>
      <c r="J35" s="4"/>
      <c r="K35" s="4"/>
    </row>
    <row r="36" customFormat="false" ht="23.25" hidden="false" customHeight="true" outlineLevel="0" collapsed="false">
      <c r="A36" s="4" t="s">
        <v>335</v>
      </c>
      <c r="B36" s="4" t="s">
        <v>336</v>
      </c>
      <c r="C36" s="4"/>
      <c r="D36" s="47" t="n">
        <v>6</v>
      </c>
      <c r="E36" s="4" t="s">
        <v>337</v>
      </c>
      <c r="F36" s="4" t="s">
        <v>338</v>
      </c>
      <c r="G36" s="4"/>
      <c r="H36" s="4"/>
      <c r="I36" s="4"/>
      <c r="J36" s="4"/>
      <c r="K36" s="4"/>
    </row>
    <row r="37" customFormat="false" ht="23.25" hidden="false" customHeight="true" outlineLevel="0" collapsed="false">
      <c r="A37" s="4" t="s">
        <v>339</v>
      </c>
      <c r="B37" s="4" t="s">
        <v>340</v>
      </c>
      <c r="C37" s="4"/>
      <c r="D37" s="47" t="n">
        <v>12</v>
      </c>
      <c r="E37" s="4" t="s">
        <v>341</v>
      </c>
      <c r="F37" s="4" t="s">
        <v>342</v>
      </c>
      <c r="G37" s="4"/>
      <c r="H37" s="4"/>
      <c r="I37" s="4"/>
      <c r="J37" s="4"/>
      <c r="K37" s="4"/>
    </row>
    <row r="38" customFormat="false" ht="23.25" hidden="false" customHeight="true" outlineLevel="0" collapsed="false">
      <c r="A38" s="4" t="s">
        <v>343</v>
      </c>
      <c r="B38" s="4" t="s">
        <v>344</v>
      </c>
      <c r="C38" s="4"/>
      <c r="D38" s="47" t="n">
        <v>12</v>
      </c>
      <c r="E38" s="4" t="s">
        <v>345</v>
      </c>
      <c r="F38" s="4" t="s">
        <v>346</v>
      </c>
      <c r="G38" s="4"/>
      <c r="H38" s="4"/>
      <c r="I38" s="4"/>
      <c r="J38" s="4"/>
      <c r="K38" s="4"/>
    </row>
    <row r="39" customFormat="false" ht="15" hidden="false" customHeight="true" outlineLevel="0" collapsed="false">
      <c r="A39" s="4"/>
      <c r="B39" s="4"/>
      <c r="C39" s="4"/>
      <c r="D39" s="4"/>
      <c r="E39" s="4"/>
      <c r="F39" s="4"/>
      <c r="G39" s="4"/>
      <c r="H39" s="4"/>
      <c r="I39" s="4"/>
      <c r="J39" s="4"/>
      <c r="K39" s="4"/>
    </row>
    <row r="40" customFormat="false" ht="15" hidden="false" customHeight="true" outlineLevel="0" collapsed="false">
      <c r="A40" s="4"/>
      <c r="B40" s="4"/>
      <c r="C40" s="4"/>
      <c r="D40" s="4"/>
      <c r="E40" s="4"/>
      <c r="F40" s="4"/>
      <c r="G40" s="4"/>
      <c r="H40" s="4"/>
      <c r="I40" s="4"/>
      <c r="J40" s="4"/>
      <c r="K40" s="4"/>
    </row>
    <row r="41" customFormat="false" ht="15" hidden="false" customHeight="true" outlineLevel="0" collapsed="false">
      <c r="A41" s="4"/>
      <c r="B41" s="4"/>
      <c r="C41" s="4"/>
      <c r="D41" s="4"/>
      <c r="E41" s="4"/>
      <c r="F41" s="4"/>
      <c r="G41" s="4"/>
      <c r="H41" s="4"/>
      <c r="I41" s="4"/>
      <c r="J41" s="4"/>
      <c r="K41" s="4"/>
    </row>
    <row r="42" customFormat="false" ht="15" hidden="false" customHeight="true" outlineLevel="0" collapsed="false">
      <c r="A42" s="4"/>
      <c r="B42" s="4"/>
      <c r="C42" s="4"/>
      <c r="D42" s="4"/>
      <c r="E42" s="4"/>
      <c r="F42" s="4"/>
      <c r="G42" s="4"/>
      <c r="H42" s="4"/>
      <c r="I42" s="4"/>
      <c r="J42" s="4"/>
      <c r="K42" s="4"/>
    </row>
    <row r="43" customFormat="false" ht="15" hidden="false" customHeight="true" outlineLevel="0" collapsed="false">
      <c r="A43" s="4"/>
      <c r="B43" s="4"/>
      <c r="C43" s="4"/>
      <c r="D43" s="4"/>
      <c r="E43" s="4"/>
      <c r="F43" s="4"/>
      <c r="G43" s="4"/>
      <c r="H43" s="4"/>
      <c r="I43" s="4"/>
      <c r="J43" s="4"/>
      <c r="K43" s="4"/>
    </row>
    <row r="44" customFormat="false" ht="15" hidden="false" customHeight="true" outlineLevel="0" collapsed="false">
      <c r="A44" s="4"/>
      <c r="B44" s="4"/>
      <c r="C44" s="4"/>
      <c r="D44" s="4"/>
      <c r="E44" s="4"/>
      <c r="F44" s="4"/>
      <c r="G44" s="4"/>
      <c r="H44" s="4"/>
      <c r="I44" s="4"/>
      <c r="J44" s="4"/>
      <c r="K44" s="4"/>
    </row>
    <row r="45" customFormat="false" ht="15" hidden="false" customHeight="true" outlineLevel="0" collapsed="false">
      <c r="A45" s="4"/>
      <c r="B45" s="4"/>
      <c r="C45" s="4"/>
      <c r="D45" s="4"/>
      <c r="E45" s="4"/>
      <c r="F45" s="4"/>
      <c r="G45" s="4"/>
      <c r="H45" s="4"/>
      <c r="I45" s="4"/>
      <c r="J45" s="4"/>
      <c r="K45" s="4"/>
    </row>
    <row r="46" customFormat="false" ht="15" hidden="false" customHeight="true" outlineLevel="0" collapsed="false">
      <c r="A46" s="4"/>
      <c r="B46" s="4"/>
      <c r="C46" s="4"/>
      <c r="D46" s="4"/>
      <c r="E46" s="4"/>
      <c r="F46" s="4"/>
      <c r="G46" s="4"/>
      <c r="H46" s="4"/>
      <c r="I46" s="4"/>
      <c r="J46" s="4"/>
      <c r="K46" s="4"/>
    </row>
    <row r="47" customFormat="false" ht="15" hidden="false" customHeight="true" outlineLevel="0" collapsed="false">
      <c r="A47" s="4"/>
      <c r="B47" s="4"/>
      <c r="C47" s="4"/>
      <c r="D47" s="4"/>
      <c r="E47" s="4"/>
      <c r="F47" s="4"/>
      <c r="G47" s="4"/>
      <c r="H47" s="4"/>
      <c r="I47" s="4"/>
      <c r="J47" s="4"/>
      <c r="K47" s="4"/>
    </row>
    <row r="48" customFormat="false" ht="15" hidden="false" customHeight="true" outlineLevel="0" collapsed="false">
      <c r="A48" s="4"/>
      <c r="B48" s="4"/>
      <c r="C48" s="4"/>
      <c r="D48" s="4"/>
      <c r="E48" s="4"/>
      <c r="F48" s="4"/>
      <c r="G48" s="4"/>
      <c r="H48" s="4"/>
      <c r="I48" s="4"/>
      <c r="J48" s="4"/>
      <c r="K48" s="4"/>
    </row>
    <row r="49" customFormat="false" ht="15" hidden="false" customHeight="true" outlineLevel="0" collapsed="false">
      <c r="A49" s="4"/>
      <c r="B49" s="4"/>
      <c r="C49" s="4"/>
      <c r="D49" s="4"/>
      <c r="E49" s="4"/>
      <c r="F49" s="4"/>
      <c r="G49" s="4"/>
      <c r="H49" s="4"/>
      <c r="I49" s="4"/>
      <c r="J49" s="4"/>
      <c r="K49" s="4"/>
    </row>
    <row r="50" customFormat="false" ht="15" hidden="false" customHeight="true" outlineLevel="0" collapsed="false">
      <c r="A50" s="4"/>
      <c r="B50" s="4"/>
      <c r="C50" s="4"/>
      <c r="D50" s="4"/>
      <c r="E50" s="4"/>
      <c r="F50" s="4"/>
      <c r="G50" s="4"/>
      <c r="H50" s="4"/>
      <c r="I50" s="4"/>
      <c r="J50" s="4"/>
      <c r="K50" s="4"/>
    </row>
    <row r="51" customFormat="false" ht="15" hidden="false" customHeight="true" outlineLevel="0" collapsed="false">
      <c r="A51" s="4"/>
      <c r="B51" s="4"/>
      <c r="C51" s="4"/>
      <c r="D51" s="4"/>
      <c r="E51" s="4"/>
      <c r="F51" s="4"/>
      <c r="G51" s="4"/>
      <c r="H51" s="4"/>
      <c r="I51" s="4"/>
      <c r="J51" s="4"/>
      <c r="K51" s="4"/>
    </row>
    <row r="52" customFormat="false" ht="15" hidden="false" customHeight="true" outlineLevel="0" collapsed="false">
      <c r="A52" s="4"/>
      <c r="B52" s="4"/>
      <c r="C52" s="4"/>
      <c r="D52" s="4"/>
      <c r="E52" s="4"/>
      <c r="F52" s="4"/>
      <c r="G52" s="4"/>
      <c r="H52" s="4"/>
      <c r="I52" s="4"/>
      <c r="J52" s="4"/>
      <c r="K52" s="4"/>
    </row>
    <row r="53" customFormat="false" ht="15" hidden="false" customHeight="true" outlineLevel="0" collapsed="false">
      <c r="A53" s="4"/>
      <c r="B53" s="4"/>
      <c r="C53" s="4"/>
      <c r="D53" s="4"/>
      <c r="E53" s="4"/>
      <c r="F53" s="4"/>
      <c r="G53" s="4"/>
      <c r="H53" s="4"/>
      <c r="I53" s="4"/>
      <c r="J53" s="4"/>
      <c r="K53" s="4"/>
    </row>
    <row r="54" customFormat="false" ht="15" hidden="false" customHeight="true" outlineLevel="0" collapsed="false">
      <c r="A54" s="4"/>
      <c r="B54" s="4"/>
      <c r="C54" s="4"/>
      <c r="D54" s="4"/>
      <c r="E54" s="4"/>
      <c r="F54" s="4"/>
      <c r="G54" s="4"/>
      <c r="H54" s="4"/>
      <c r="I54" s="4"/>
      <c r="J54" s="4"/>
      <c r="K54" s="4"/>
    </row>
    <row r="55" customFormat="false" ht="15" hidden="false" customHeight="true" outlineLevel="0" collapsed="false">
      <c r="A55" s="4"/>
      <c r="B55" s="4"/>
      <c r="C55" s="4"/>
      <c r="D55" s="4"/>
      <c r="E55" s="4"/>
      <c r="F55" s="4"/>
      <c r="G55" s="4"/>
      <c r="H55" s="4"/>
      <c r="I55" s="4"/>
      <c r="J55" s="4"/>
      <c r="K55" s="4"/>
    </row>
    <row r="56" customFormat="false" ht="15" hidden="false" customHeight="true" outlineLevel="0" collapsed="false">
      <c r="A56" s="4"/>
      <c r="B56" s="4"/>
      <c r="C56" s="4"/>
      <c r="D56" s="4"/>
      <c r="E56" s="4"/>
      <c r="F56" s="4"/>
      <c r="G56" s="4"/>
      <c r="H56" s="4"/>
      <c r="I56" s="4"/>
      <c r="J56" s="4"/>
      <c r="K56" s="4"/>
    </row>
    <row r="57" customFormat="false" ht="15" hidden="false" customHeight="true" outlineLevel="0" collapsed="false">
      <c r="A57" s="4"/>
      <c r="B57" s="4"/>
      <c r="C57" s="4"/>
      <c r="D57" s="4"/>
      <c r="E57" s="4"/>
      <c r="F57" s="4"/>
      <c r="G57" s="4"/>
      <c r="H57" s="4"/>
      <c r="I57" s="4"/>
      <c r="J57" s="4"/>
      <c r="K57" s="4"/>
    </row>
    <row r="58" customFormat="false" ht="15" hidden="false" customHeight="true" outlineLevel="0" collapsed="false">
      <c r="A58" s="4"/>
      <c r="B58" s="4"/>
      <c r="C58" s="4"/>
      <c r="D58" s="4"/>
      <c r="E58" s="4"/>
      <c r="F58" s="4"/>
      <c r="G58" s="4"/>
      <c r="H58" s="4"/>
      <c r="I58" s="4"/>
      <c r="J58" s="4"/>
      <c r="K58" s="4"/>
    </row>
    <row r="59" customFormat="false" ht="15" hidden="false" customHeight="true" outlineLevel="0" collapsed="false">
      <c r="A59" s="4"/>
      <c r="B59" s="4"/>
      <c r="C59" s="4"/>
      <c r="D59" s="4"/>
      <c r="E59" s="4"/>
      <c r="F59" s="4"/>
      <c r="G59" s="4"/>
      <c r="H59" s="4"/>
      <c r="I59" s="4"/>
      <c r="J59" s="4"/>
      <c r="K59" s="4"/>
    </row>
    <row r="60" customFormat="false" ht="15" hidden="false" customHeight="true" outlineLevel="0" collapsed="false">
      <c r="A60" s="4"/>
      <c r="B60" s="4"/>
      <c r="C60" s="4"/>
      <c r="D60" s="4"/>
      <c r="E60" s="4"/>
      <c r="F60" s="4"/>
      <c r="G60" s="4"/>
      <c r="H60" s="4"/>
      <c r="I60" s="4"/>
      <c r="J60" s="4"/>
      <c r="K60" s="4"/>
    </row>
    <row r="61" customFormat="false" ht="15" hidden="false" customHeight="true" outlineLevel="0" collapsed="false">
      <c r="A61" s="4"/>
      <c r="B61" s="4"/>
      <c r="C61" s="4"/>
      <c r="D61" s="4"/>
      <c r="E61" s="4"/>
      <c r="F61" s="4"/>
      <c r="G61" s="4"/>
      <c r="H61" s="4"/>
      <c r="I61" s="4"/>
      <c r="J61" s="4"/>
      <c r="K61" s="4"/>
    </row>
    <row r="62" customFormat="false" ht="15" hidden="false" customHeight="true" outlineLevel="0" collapsed="false">
      <c r="A62" s="4"/>
      <c r="B62" s="4"/>
      <c r="C62" s="4"/>
      <c r="D62" s="4"/>
      <c r="E62" s="4"/>
      <c r="F62" s="4"/>
      <c r="G62" s="4"/>
      <c r="H62" s="4"/>
      <c r="I62" s="4"/>
      <c r="J62" s="4"/>
      <c r="K62" s="4"/>
    </row>
    <row r="63" customFormat="false" ht="15" hidden="false" customHeight="true" outlineLevel="0" collapsed="false">
      <c r="A63" s="4"/>
      <c r="B63" s="4"/>
      <c r="C63" s="4"/>
      <c r="D63" s="4"/>
      <c r="E63" s="4"/>
      <c r="F63" s="4"/>
      <c r="G63" s="4"/>
      <c r="H63" s="4"/>
      <c r="I63" s="4"/>
      <c r="J63" s="4"/>
      <c r="K63" s="4"/>
    </row>
    <row r="64" customFormat="false" ht="15" hidden="false" customHeight="true" outlineLevel="0" collapsed="false">
      <c r="A64" s="4"/>
      <c r="B64" s="4"/>
      <c r="C64" s="4"/>
      <c r="D64" s="4"/>
      <c r="E64" s="4"/>
      <c r="F64" s="4"/>
      <c r="G64" s="4"/>
      <c r="H64" s="4"/>
      <c r="I64" s="4"/>
      <c r="J64" s="4"/>
      <c r="K64" s="4"/>
    </row>
    <row r="65" customFormat="false" ht="15" hidden="false" customHeight="true" outlineLevel="0" collapsed="false">
      <c r="A65" s="4"/>
      <c r="B65" s="4"/>
      <c r="C65" s="4"/>
      <c r="D65" s="4"/>
      <c r="E65" s="4"/>
      <c r="F65" s="4"/>
      <c r="G65" s="4"/>
      <c r="H65" s="4"/>
      <c r="I65" s="4"/>
      <c r="J65" s="4"/>
      <c r="K65" s="4"/>
    </row>
    <row r="66" customFormat="false" ht="15" hidden="false" customHeight="true" outlineLevel="0" collapsed="false">
      <c r="A66" s="4"/>
      <c r="B66" s="4"/>
      <c r="C66" s="4"/>
      <c r="D66" s="4"/>
      <c r="E66" s="4"/>
      <c r="F66" s="4"/>
      <c r="G66" s="4"/>
      <c r="H66" s="4"/>
      <c r="I66" s="4"/>
      <c r="J66" s="4"/>
      <c r="K66" s="4"/>
    </row>
    <row r="67" customFormat="false" ht="15" hidden="false" customHeight="true" outlineLevel="0" collapsed="false">
      <c r="A67" s="4"/>
      <c r="B67" s="4"/>
      <c r="C67" s="4"/>
      <c r="D67" s="4"/>
      <c r="E67" s="4"/>
      <c r="F67" s="4"/>
      <c r="G67" s="4"/>
      <c r="H67" s="4"/>
      <c r="I67" s="4"/>
      <c r="J67" s="4"/>
      <c r="K67" s="4"/>
    </row>
    <row r="68" customFormat="false" ht="15" hidden="false" customHeight="true" outlineLevel="0" collapsed="false">
      <c r="A68" s="4"/>
      <c r="B68" s="4"/>
      <c r="C68" s="4"/>
      <c r="D68" s="4"/>
      <c r="E68" s="4"/>
      <c r="F68" s="4"/>
      <c r="G68" s="4"/>
      <c r="H68" s="4"/>
      <c r="I68" s="4"/>
      <c r="J68" s="4"/>
      <c r="K68" s="4"/>
    </row>
    <row r="69" customFormat="false" ht="15" hidden="false" customHeight="true" outlineLevel="0" collapsed="false">
      <c r="A69" s="4"/>
      <c r="B69" s="4"/>
      <c r="C69" s="4"/>
      <c r="D69" s="4"/>
      <c r="E69" s="4"/>
      <c r="F69" s="4"/>
      <c r="G69" s="4"/>
      <c r="H69" s="4"/>
      <c r="I69" s="4"/>
      <c r="J69" s="4"/>
      <c r="K69" s="4"/>
    </row>
    <row r="70" customFormat="false" ht="15" hidden="false" customHeight="true" outlineLevel="0" collapsed="false">
      <c r="A70" s="4"/>
      <c r="B70" s="4"/>
      <c r="C70" s="4"/>
      <c r="D70" s="4"/>
      <c r="E70" s="4"/>
      <c r="F70" s="4"/>
      <c r="G70" s="4"/>
      <c r="H70" s="4"/>
      <c r="I70" s="4"/>
      <c r="J70" s="4"/>
      <c r="K70" s="4"/>
    </row>
    <row r="71" customFormat="false" ht="15" hidden="false" customHeight="true" outlineLevel="0" collapsed="false">
      <c r="A71" s="4"/>
      <c r="B71" s="4"/>
      <c r="C71" s="4"/>
      <c r="D71" s="4"/>
      <c r="E71" s="4"/>
      <c r="F71" s="4"/>
      <c r="G71" s="4"/>
      <c r="H71" s="4"/>
      <c r="I71" s="4"/>
      <c r="J71" s="4"/>
      <c r="K71" s="4"/>
    </row>
    <row r="72" customFormat="false" ht="15" hidden="false" customHeight="true" outlineLevel="0" collapsed="false">
      <c r="A72" s="4"/>
      <c r="B72" s="4"/>
      <c r="C72" s="4"/>
      <c r="D72" s="4"/>
      <c r="E72" s="4"/>
      <c r="F72" s="4"/>
      <c r="G72" s="4"/>
      <c r="H72" s="4"/>
      <c r="I72" s="4"/>
      <c r="J72" s="4"/>
      <c r="K72" s="4"/>
    </row>
    <row r="73" customFormat="false" ht="15" hidden="false" customHeight="true" outlineLevel="0" collapsed="false">
      <c r="A73" s="4"/>
      <c r="B73" s="4"/>
      <c r="C73" s="4"/>
      <c r="D73" s="4"/>
      <c r="E73" s="4"/>
      <c r="F73" s="4"/>
      <c r="G73" s="4"/>
      <c r="H73" s="4"/>
      <c r="I73" s="4"/>
      <c r="J73" s="4"/>
      <c r="K73" s="4"/>
    </row>
    <row r="74" customFormat="false" ht="15" hidden="false" customHeight="true" outlineLevel="0" collapsed="false">
      <c r="A74" s="4"/>
      <c r="B74" s="4"/>
      <c r="C74" s="4"/>
      <c r="D74" s="4"/>
      <c r="E74" s="4"/>
      <c r="F74" s="4"/>
      <c r="G74" s="4"/>
      <c r="H74" s="4"/>
      <c r="I74" s="4"/>
      <c r="J74" s="4"/>
      <c r="K74" s="4"/>
    </row>
    <row r="75" customFormat="false" ht="15" hidden="false" customHeight="true" outlineLevel="0" collapsed="false">
      <c r="A75" s="4"/>
      <c r="B75" s="4"/>
      <c r="C75" s="4"/>
      <c r="D75" s="4"/>
      <c r="E75" s="4"/>
      <c r="F75" s="4"/>
      <c r="G75" s="4"/>
      <c r="H75" s="4"/>
      <c r="I75" s="4"/>
      <c r="J75" s="4"/>
      <c r="K75" s="4"/>
    </row>
    <row r="76" customFormat="false" ht="15" hidden="false" customHeight="true" outlineLevel="0" collapsed="false">
      <c r="A76" s="4"/>
      <c r="B76" s="4"/>
      <c r="C76" s="4"/>
      <c r="D76" s="4"/>
      <c r="E76" s="4"/>
      <c r="F76" s="4"/>
      <c r="G76" s="4"/>
      <c r="H76" s="4"/>
      <c r="I76" s="4"/>
      <c r="J76" s="4"/>
      <c r="K76" s="4"/>
    </row>
    <row r="77" customFormat="false" ht="15" hidden="false" customHeight="true" outlineLevel="0" collapsed="false">
      <c r="A77" s="4"/>
      <c r="B77" s="4"/>
      <c r="C77" s="4"/>
      <c r="D77" s="4"/>
      <c r="E77" s="4"/>
      <c r="F77" s="4"/>
      <c r="G77" s="4"/>
      <c r="H77" s="4"/>
      <c r="I77" s="4"/>
      <c r="J77" s="4"/>
      <c r="K77" s="4"/>
    </row>
    <row r="78" customFormat="false" ht="15" hidden="false" customHeight="true" outlineLevel="0" collapsed="false">
      <c r="A78" s="4"/>
      <c r="B78" s="4"/>
      <c r="C78" s="4"/>
      <c r="D78" s="4"/>
      <c r="E78" s="4"/>
      <c r="F78" s="4"/>
      <c r="G78" s="4"/>
      <c r="H78" s="4"/>
      <c r="I78" s="4"/>
      <c r="J78" s="4"/>
      <c r="K78" s="4"/>
    </row>
    <row r="79" customFormat="false" ht="15" hidden="false" customHeight="true" outlineLevel="0" collapsed="false">
      <c r="A79" s="4"/>
      <c r="B79" s="4"/>
      <c r="C79" s="4"/>
      <c r="D79" s="4"/>
      <c r="E79" s="4"/>
      <c r="F79" s="4"/>
      <c r="G79" s="4"/>
      <c r="H79" s="4"/>
      <c r="I79" s="4"/>
      <c r="J79" s="4"/>
      <c r="K79" s="4"/>
    </row>
    <row r="80" customFormat="false" ht="15" hidden="false" customHeight="true" outlineLevel="0" collapsed="false">
      <c r="A80" s="4"/>
      <c r="B80" s="4"/>
      <c r="C80" s="4"/>
      <c r="D80" s="4"/>
      <c r="E80" s="4"/>
      <c r="F80" s="4"/>
      <c r="G80" s="4"/>
      <c r="H80" s="4"/>
      <c r="I80" s="4"/>
      <c r="J80" s="4"/>
      <c r="K80" s="4"/>
    </row>
    <row r="81" customFormat="false" ht="15" hidden="false" customHeight="true" outlineLevel="0" collapsed="false">
      <c r="A81" s="4"/>
      <c r="B81" s="4"/>
      <c r="C81" s="4"/>
      <c r="D81" s="4"/>
      <c r="E81" s="4"/>
      <c r="F81" s="4"/>
      <c r="G81" s="4"/>
      <c r="H81" s="4"/>
      <c r="I81" s="4"/>
      <c r="J81" s="4"/>
      <c r="K81" s="4"/>
    </row>
    <row r="82" customFormat="false" ht="15" hidden="false" customHeight="true" outlineLevel="0" collapsed="false">
      <c r="A82" s="4"/>
      <c r="B82" s="4"/>
      <c r="C82" s="4"/>
      <c r="D82" s="4"/>
      <c r="E82" s="4"/>
      <c r="F82" s="4"/>
      <c r="G82" s="4"/>
      <c r="H82" s="4"/>
      <c r="I82" s="4"/>
      <c r="J82" s="4"/>
      <c r="K82" s="4"/>
    </row>
    <row r="83" customFormat="false" ht="15" hidden="false" customHeight="true" outlineLevel="0" collapsed="false">
      <c r="A83" s="4"/>
      <c r="B83" s="4"/>
      <c r="C83" s="4"/>
      <c r="D83" s="4"/>
      <c r="E83" s="4"/>
      <c r="F83" s="4"/>
      <c r="G83" s="4"/>
      <c r="H83" s="4"/>
      <c r="I83" s="4"/>
      <c r="J83" s="4"/>
      <c r="K83" s="4"/>
    </row>
    <row r="84" customFormat="false" ht="15" hidden="false" customHeight="true" outlineLevel="0" collapsed="false">
      <c r="A84" s="4"/>
      <c r="B84" s="4"/>
      <c r="C84" s="4"/>
      <c r="D84" s="4"/>
      <c r="E84" s="4"/>
      <c r="F84" s="4"/>
      <c r="G84" s="4"/>
      <c r="H84" s="4"/>
      <c r="I84" s="4"/>
      <c r="J84" s="4"/>
      <c r="K84" s="4"/>
    </row>
    <row r="85" customFormat="false" ht="15" hidden="false" customHeight="true" outlineLevel="0" collapsed="false">
      <c r="A85" s="4"/>
      <c r="B85" s="4"/>
      <c r="C85" s="4"/>
      <c r="D85" s="4"/>
      <c r="E85" s="4"/>
      <c r="F85" s="4"/>
      <c r="G85" s="4"/>
      <c r="H85" s="4"/>
      <c r="I85" s="4"/>
      <c r="J85" s="4"/>
      <c r="K85" s="4"/>
    </row>
    <row r="86" customFormat="false" ht="15" hidden="false" customHeight="true" outlineLevel="0" collapsed="false">
      <c r="A86" s="4"/>
      <c r="B86" s="4"/>
      <c r="C86" s="4"/>
      <c r="D86" s="4"/>
      <c r="E86" s="4"/>
      <c r="F86" s="4"/>
      <c r="G86" s="4"/>
      <c r="H86" s="4"/>
      <c r="I86" s="4"/>
      <c r="J86" s="4"/>
      <c r="K86" s="4"/>
    </row>
    <row r="87" customFormat="false" ht="15" hidden="false" customHeight="true" outlineLevel="0" collapsed="false">
      <c r="A87" s="4"/>
      <c r="B87" s="4"/>
      <c r="C87" s="4"/>
      <c r="D87" s="4"/>
      <c r="E87" s="4"/>
      <c r="F87" s="4"/>
      <c r="G87" s="4"/>
      <c r="H87" s="4"/>
      <c r="I87" s="4"/>
      <c r="J87" s="4"/>
      <c r="K87" s="4"/>
    </row>
    <row r="88" customFormat="false" ht="15" hidden="false" customHeight="true" outlineLevel="0" collapsed="false">
      <c r="A88" s="4"/>
      <c r="B88" s="4"/>
      <c r="C88" s="4"/>
      <c r="D88" s="4"/>
      <c r="E88" s="4"/>
      <c r="F88" s="4"/>
      <c r="G88" s="4"/>
      <c r="H88" s="4"/>
      <c r="I88" s="4"/>
      <c r="J88" s="4"/>
      <c r="K88" s="4"/>
    </row>
    <row r="89" customFormat="false" ht="15" hidden="false" customHeight="true" outlineLevel="0" collapsed="false">
      <c r="A89" s="4"/>
      <c r="B89" s="4"/>
      <c r="C89" s="4"/>
      <c r="D89" s="4"/>
      <c r="E89" s="4"/>
      <c r="F89" s="4"/>
      <c r="G89" s="4"/>
      <c r="H89" s="4"/>
      <c r="I89" s="4"/>
      <c r="J89" s="4"/>
      <c r="K89" s="4"/>
    </row>
    <row r="90" customFormat="false" ht="15" hidden="false" customHeight="true" outlineLevel="0" collapsed="false">
      <c r="A90" s="4"/>
      <c r="B90" s="4"/>
      <c r="C90" s="4"/>
      <c r="D90" s="4"/>
      <c r="E90" s="4"/>
      <c r="F90" s="4"/>
      <c r="G90" s="4"/>
      <c r="H90" s="4"/>
      <c r="I90" s="4"/>
      <c r="J90" s="4"/>
      <c r="K90" s="4"/>
    </row>
    <row r="91" customFormat="false" ht="15" hidden="false" customHeight="true" outlineLevel="0" collapsed="false">
      <c r="A91" s="4"/>
      <c r="B91" s="4"/>
      <c r="C91" s="4"/>
      <c r="D91" s="4"/>
      <c r="E91" s="4"/>
      <c r="F91" s="4"/>
      <c r="G91" s="4"/>
      <c r="H91" s="4"/>
      <c r="I91" s="4"/>
      <c r="J91" s="4"/>
      <c r="K91" s="4"/>
    </row>
    <row r="92" customFormat="false" ht="15" hidden="false" customHeight="true" outlineLevel="0" collapsed="false">
      <c r="A92" s="4"/>
      <c r="B92" s="4"/>
      <c r="C92" s="4"/>
      <c r="D92" s="4"/>
      <c r="E92" s="4"/>
      <c r="F92" s="4"/>
      <c r="G92" s="4"/>
      <c r="H92" s="4"/>
      <c r="I92" s="4"/>
      <c r="J92" s="4"/>
      <c r="K92" s="4"/>
    </row>
    <row r="93" customFormat="false" ht="15" hidden="false" customHeight="true" outlineLevel="0" collapsed="false">
      <c r="A93" s="4"/>
      <c r="B93" s="4"/>
      <c r="C93" s="4"/>
      <c r="D93" s="4"/>
      <c r="E93" s="4"/>
      <c r="F93" s="4"/>
      <c r="G93" s="4"/>
      <c r="H93" s="4"/>
      <c r="I93" s="4"/>
      <c r="J93" s="4"/>
      <c r="K93" s="4"/>
    </row>
    <row r="94" customFormat="false" ht="15" hidden="false" customHeight="true" outlineLevel="0" collapsed="false">
      <c r="A94" s="4"/>
      <c r="B94" s="4"/>
      <c r="C94" s="4"/>
      <c r="D94" s="4"/>
      <c r="E94" s="4"/>
      <c r="F94" s="4"/>
      <c r="G94" s="4"/>
      <c r="H94" s="4"/>
      <c r="I94" s="4"/>
      <c r="J94" s="4"/>
      <c r="K94" s="4"/>
    </row>
    <row r="95" customFormat="false" ht="15" hidden="false" customHeight="true" outlineLevel="0" collapsed="false">
      <c r="A95" s="4"/>
      <c r="B95" s="4"/>
      <c r="C95" s="4"/>
      <c r="D95" s="4"/>
      <c r="E95" s="4"/>
      <c r="F95" s="4"/>
      <c r="G95" s="4"/>
      <c r="H95" s="4"/>
      <c r="I95" s="4"/>
      <c r="J95" s="4"/>
      <c r="K95" s="4"/>
    </row>
    <row r="96" customFormat="false" ht="15" hidden="false" customHeight="true" outlineLevel="0" collapsed="false">
      <c r="A96" s="4"/>
      <c r="B96" s="4"/>
      <c r="C96" s="4"/>
      <c r="D96" s="4"/>
      <c r="E96" s="4"/>
      <c r="F96" s="4"/>
      <c r="G96" s="4"/>
      <c r="H96" s="4"/>
      <c r="I96" s="4"/>
      <c r="J96" s="4"/>
      <c r="K96" s="4"/>
    </row>
    <row r="97" customFormat="false" ht="15" hidden="false" customHeight="true" outlineLevel="0" collapsed="false">
      <c r="A97" s="4"/>
      <c r="B97" s="4"/>
      <c r="C97" s="4"/>
      <c r="D97" s="4"/>
      <c r="E97" s="4"/>
      <c r="F97" s="4"/>
      <c r="G97" s="4"/>
      <c r="H97" s="4"/>
      <c r="I97" s="4"/>
      <c r="J97" s="4"/>
      <c r="K97" s="4"/>
    </row>
    <row r="98" customFormat="false" ht="15" hidden="false" customHeight="true" outlineLevel="0" collapsed="false">
      <c r="A98" s="4"/>
      <c r="B98" s="4"/>
      <c r="C98" s="4"/>
      <c r="D98" s="4"/>
      <c r="E98" s="4"/>
      <c r="F98" s="4"/>
      <c r="G98" s="4"/>
      <c r="H98" s="4"/>
      <c r="I98" s="4"/>
      <c r="J98" s="4"/>
      <c r="K98" s="4"/>
    </row>
    <row r="99" customFormat="false" ht="15" hidden="false" customHeight="true" outlineLevel="0" collapsed="false">
      <c r="A99" s="4"/>
      <c r="B99" s="4"/>
      <c r="C99" s="4"/>
      <c r="D99" s="4"/>
      <c r="E99" s="4"/>
      <c r="F99" s="4"/>
      <c r="G99" s="4"/>
      <c r="H99" s="4"/>
      <c r="I99" s="4"/>
      <c r="J99" s="4"/>
      <c r="K99" s="4"/>
    </row>
    <row r="100" customFormat="false" ht="15" hidden="false" customHeight="true" outlineLevel="0" collapsed="false">
      <c r="A100" s="4"/>
      <c r="B100" s="4"/>
      <c r="C100" s="4"/>
      <c r="D100" s="4"/>
      <c r="E100" s="4"/>
      <c r="F100" s="4"/>
      <c r="G100" s="4"/>
      <c r="H100" s="4"/>
      <c r="I100" s="4"/>
      <c r="J100" s="4"/>
      <c r="K100" s="4"/>
    </row>
  </sheetData>
  <mergeCells count="2">
    <mergeCell ref="A1:F1"/>
    <mergeCell ref="A2:F2"/>
  </mergeCells>
  <conditionalFormatting sqref="D4:D23">
    <cfRule type="expression" priority="2" aboveAverage="0" equalAverage="0" bottom="0" percent="0" rank="0" text="" dxfId="0">
      <formula>D4&lt;0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8"/>
    <col collapsed="false" customWidth="true" hidden="false" outlineLevel="0" max="2" min="2" style="17" width="34"/>
    <col collapsed="false" customWidth="true" hidden="false" outlineLevel="0" max="3" min="3" style="17" width="12"/>
    <col collapsed="false" customWidth="true" hidden="false" outlineLevel="0" max="4" min="4" style="17" width="17"/>
    <col collapsed="false" customWidth="true" hidden="false" outlineLevel="0" max="5" min="5" style="17" width="62"/>
  </cols>
  <sheetData>
    <row r="1" customFormat="false" ht="33.75" hidden="false" customHeight="true" outlineLevel="0" collapsed="false">
      <c r="A1" s="48" t="s">
        <v>347</v>
      </c>
      <c r="B1" s="48"/>
      <c r="C1" s="48"/>
      <c r="D1" s="48"/>
      <c r="E1" s="48"/>
    </row>
    <row r="2" customFormat="false" ht="15" hidden="false" customHeight="true" outlineLevel="0" collapsed="false">
      <c r="A2" s="4"/>
      <c r="B2" s="4"/>
      <c r="C2" s="4"/>
      <c r="D2" s="4"/>
      <c r="E2" s="4"/>
    </row>
    <row r="3" customFormat="false" ht="15" hidden="false" customHeight="true" outlineLevel="0" collapsed="false">
      <c r="A3" s="4" t="s">
        <v>348</v>
      </c>
      <c r="B3" s="4" t="s">
        <v>233</v>
      </c>
      <c r="C3" s="4" t="s">
        <v>211</v>
      </c>
      <c r="D3" s="4" t="s">
        <v>234</v>
      </c>
      <c r="E3" s="4" t="s">
        <v>236</v>
      </c>
    </row>
    <row r="4" customFormat="false" ht="24" hidden="false" customHeight="true" outlineLevel="0" collapsed="false">
      <c r="A4" s="4" t="s">
        <v>349</v>
      </c>
      <c r="B4" s="4" t="s">
        <v>350</v>
      </c>
      <c r="C4" s="49"/>
      <c r="D4" s="50" t="n">
        <f aca="false">2024_Basis_Control!B36</f>
        <v>366.7</v>
      </c>
      <c r="E4" s="4" t="s">
        <v>351</v>
      </c>
    </row>
    <row r="5" customFormat="false" ht="15" hidden="false" customHeight="true" outlineLevel="0" collapsed="false">
      <c r="A5" s="4" t="s">
        <v>352</v>
      </c>
      <c r="B5" s="4" t="s">
        <v>50</v>
      </c>
      <c r="C5" s="49" t="n">
        <v>0.03</v>
      </c>
      <c r="D5" s="50" t="n">
        <f aca="false">2024_Basis_Control!B6*C5</f>
        <v>351.26673</v>
      </c>
      <c r="E5" s="4" t="s">
        <v>353</v>
      </c>
    </row>
    <row r="6" customFormat="false" ht="24" hidden="false" customHeight="true" outlineLevel="0" collapsed="false">
      <c r="A6" s="4" t="s">
        <v>354</v>
      </c>
      <c r="B6" s="4" t="s">
        <v>355</v>
      </c>
      <c r="C6" s="49" t="n">
        <v>0.03</v>
      </c>
      <c r="D6" s="50" t="n">
        <f aca="false">2024_Basis_Control!B36*C6</f>
        <v>11.001</v>
      </c>
      <c r="E6" s="4" t="s">
        <v>356</v>
      </c>
    </row>
    <row r="7" customFormat="false" ht="15" hidden="false" customHeight="true" outlineLevel="0" collapsed="false">
      <c r="A7" s="4" t="s">
        <v>357</v>
      </c>
      <c r="B7" s="4" t="s">
        <v>358</v>
      </c>
      <c r="C7" s="49"/>
      <c r="D7" s="50" t="n">
        <f aca="false">D5+D6</f>
        <v>362.26773</v>
      </c>
      <c r="E7" s="4" t="s">
        <v>359</v>
      </c>
    </row>
    <row r="8" customFormat="false" ht="15" hidden="false" customHeight="true" outlineLevel="0" collapsed="false">
      <c r="A8" s="4" t="s">
        <v>360</v>
      </c>
      <c r="B8" s="4" t="s">
        <v>361</v>
      </c>
      <c r="C8" s="49" t="n">
        <v>0.03</v>
      </c>
      <c r="D8" s="50" t="n">
        <f aca="false">2024_Basis_Control!B40*C8</f>
        <v>57</v>
      </c>
      <c r="E8" s="4" t="s">
        <v>362</v>
      </c>
    </row>
    <row r="9" customFormat="false" ht="15" hidden="false" customHeight="true" outlineLevel="0" collapsed="false">
      <c r="A9" s="4"/>
      <c r="B9" s="4"/>
      <c r="C9" s="4"/>
      <c r="D9" s="50"/>
      <c r="E9" s="4"/>
    </row>
    <row r="10" customFormat="false" ht="27.75" hidden="false" customHeight="true" outlineLevel="0" collapsed="false">
      <c r="A10" s="48" t="s">
        <v>363</v>
      </c>
      <c r="B10" s="48"/>
      <c r="C10" s="48"/>
      <c r="D10" s="48"/>
      <c r="E10" s="48"/>
    </row>
    <row r="11" customFormat="false" ht="15" hidden="false" customHeight="true" outlineLevel="0" collapsed="false">
      <c r="A11" s="4" t="s">
        <v>364</v>
      </c>
      <c r="B11" s="4" t="s">
        <v>365</v>
      </c>
      <c r="C11" s="4"/>
      <c r="D11" s="50"/>
      <c r="E11" s="4"/>
    </row>
    <row r="12" customFormat="false" ht="15" hidden="false" customHeight="true" outlineLevel="0" collapsed="false">
      <c r="A12" s="4" t="s">
        <v>366</v>
      </c>
      <c r="B12" s="49" t="n">
        <v>0</v>
      </c>
      <c r="C12" s="4"/>
      <c r="D12" s="50"/>
      <c r="E12" s="4"/>
    </row>
    <row r="13" customFormat="false" ht="15" hidden="false" customHeight="true" outlineLevel="0" collapsed="false">
      <c r="A13" s="4" t="s">
        <v>367</v>
      </c>
      <c r="B13" s="49" t="n">
        <v>0.05</v>
      </c>
      <c r="C13" s="4"/>
      <c r="D13" s="50"/>
      <c r="E13" s="4"/>
    </row>
    <row r="14" customFormat="false" ht="15" hidden="false" customHeight="true" outlineLevel="0" collapsed="false">
      <c r="A14" s="4" t="s">
        <v>368</v>
      </c>
      <c r="B14" s="49" t="n">
        <v>0.075</v>
      </c>
      <c r="C14" s="4"/>
      <c r="D14" s="50"/>
      <c r="E14" s="4"/>
    </row>
    <row r="15" customFormat="false" ht="15" hidden="false" customHeight="true" outlineLevel="0" collapsed="false">
      <c r="A15" s="4" t="s">
        <v>369</v>
      </c>
      <c r="B15" s="49" t="n">
        <v>0.1</v>
      </c>
      <c r="C15" s="4"/>
      <c r="D15" s="50"/>
      <c r="E15" s="4"/>
    </row>
    <row r="16" customFormat="false" ht="15" hidden="false" customHeight="true" outlineLevel="0" collapsed="false">
      <c r="A16" s="4" t="s">
        <v>370</v>
      </c>
      <c r="B16" s="49" t="s">
        <v>371</v>
      </c>
      <c r="C16" s="4"/>
      <c r="D16" s="50"/>
      <c r="E16" s="4"/>
    </row>
    <row r="17" customFormat="false" ht="15" hidden="false" customHeight="true" outlineLevel="0" collapsed="false">
      <c r="A17" s="4"/>
      <c r="B17" s="49"/>
      <c r="C17" s="4"/>
      <c r="D17" s="50"/>
      <c r="E17" s="4"/>
    </row>
    <row r="18" customFormat="false" ht="24" hidden="false" customHeight="true" outlineLevel="0" collapsed="false">
      <c r="A18" s="4" t="s">
        <v>372</v>
      </c>
      <c r="B18" s="49" t="n">
        <v>0.09</v>
      </c>
      <c r="C18" s="4"/>
      <c r="D18" s="50"/>
      <c r="E18" s="4" t="s">
        <v>373</v>
      </c>
    </row>
    <row r="19" customFormat="false" ht="15" hidden="false" customHeight="true" outlineLevel="0" collapsed="false">
      <c r="A19" s="4" t="s">
        <v>374</v>
      </c>
      <c r="B19" s="4"/>
      <c r="C19" s="4"/>
      <c r="D19" s="50" t="n">
        <f aca="false">2024_Basis_Control!B36*B18</f>
        <v>33.003</v>
      </c>
      <c r="E19" s="4" t="s">
        <v>375</v>
      </c>
    </row>
    <row r="20" customFormat="false" ht="45.75" hidden="false" customHeight="true" outlineLevel="0" collapsed="false">
      <c r="A20" s="48" t="s">
        <v>376</v>
      </c>
      <c r="B20" s="48"/>
      <c r="C20" s="48"/>
      <c r="D20" s="48"/>
      <c r="E20" s="48"/>
    </row>
    <row r="21" customFormat="false" ht="15" hidden="false" customHeight="true" outlineLevel="0" collapsed="false"/>
  </sheetData>
  <mergeCells count="3">
    <mergeCell ref="A1:E1"/>
    <mergeCell ref="A10:E10"/>
    <mergeCell ref="A20:E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38"/>
    <col collapsed="false" customWidth="true" hidden="false" outlineLevel="0" max="3" min="3" style="1" width="16"/>
    <col collapsed="false" customWidth="true" hidden="false" outlineLevel="0" max="4" min="4" style="1" width="13"/>
    <col collapsed="false" customWidth="true" hidden="false" outlineLevel="0" max="5" min="5" style="1" width="20"/>
    <col collapsed="false" customWidth="true" hidden="false" outlineLevel="0" max="6" min="6" style="1" width="22"/>
    <col collapsed="false" customWidth="true" hidden="false" outlineLevel="0" max="7" min="7" style="1" width="42"/>
  </cols>
  <sheetData>
    <row r="1" customFormat="false" ht="27.75" hidden="false" customHeight="true" outlineLevel="0" collapsed="false">
      <c r="A1" s="2" t="s">
        <v>377</v>
      </c>
      <c r="B1" s="2"/>
      <c r="C1" s="2"/>
      <c r="D1" s="2"/>
      <c r="E1" s="2"/>
      <c r="F1" s="2"/>
      <c r="G1" s="2"/>
    </row>
    <row r="3" customFormat="false" ht="27.75" hidden="false" customHeight="true" outlineLevel="0" collapsed="false">
      <c r="A3" s="51" t="s">
        <v>348</v>
      </c>
      <c r="B3" s="51" t="s">
        <v>378</v>
      </c>
      <c r="C3" s="51" t="s">
        <v>379</v>
      </c>
      <c r="D3" s="51" t="s">
        <v>211</v>
      </c>
      <c r="E3" s="51" t="s">
        <v>380</v>
      </c>
      <c r="F3" s="51" t="s">
        <v>381</v>
      </c>
      <c r="G3" s="51" t="s">
        <v>236</v>
      </c>
    </row>
    <row r="4" customFormat="false" ht="15" hidden="false" customHeight="true" outlineLevel="0" collapsed="false">
      <c r="A4" s="52" t="s">
        <v>382</v>
      </c>
      <c r="B4" s="52" t="s">
        <v>383</v>
      </c>
      <c r="C4" s="53" t="n">
        <v>4179.16</v>
      </c>
      <c r="D4" s="54"/>
      <c r="E4" s="55"/>
      <c r="F4" s="55"/>
      <c r="G4" s="52" t="s">
        <v>384</v>
      </c>
    </row>
    <row r="5" customFormat="false" ht="15" hidden="false" customHeight="true" outlineLevel="0" collapsed="false">
      <c r="A5" s="52" t="s">
        <v>385</v>
      </c>
      <c r="B5" s="52" t="s">
        <v>386</v>
      </c>
      <c r="C5" s="53" t="n">
        <v>275</v>
      </c>
      <c r="D5" s="54"/>
      <c r="E5" s="55"/>
      <c r="F5" s="55"/>
      <c r="G5" s="52" t="s">
        <v>387</v>
      </c>
    </row>
    <row r="6" customFormat="false" ht="15" hidden="false" customHeight="true" outlineLevel="0" collapsed="false">
      <c r="A6" s="56" t="s">
        <v>388</v>
      </c>
      <c r="B6" s="56" t="s">
        <v>389</v>
      </c>
      <c r="C6" s="57" t="n">
        <f aca="false">C4-C5</f>
        <v>3904.16</v>
      </c>
      <c r="D6" s="58"/>
      <c r="E6" s="57"/>
      <c r="F6" s="57"/>
      <c r="G6" s="56" t="s">
        <v>390</v>
      </c>
    </row>
    <row r="7" customFormat="false" ht="15" hidden="false" customHeight="true" outlineLevel="0" collapsed="false">
      <c r="A7" s="52" t="s">
        <v>391</v>
      </c>
      <c r="B7" s="52" t="s">
        <v>392</v>
      </c>
      <c r="C7" s="55" t="n">
        <f aca="false">C4</f>
        <v>4179.16</v>
      </c>
      <c r="D7" s="59" t="n">
        <v>0.21</v>
      </c>
      <c r="E7" s="55"/>
      <c r="F7" s="55"/>
      <c r="G7" s="52" t="s">
        <v>393</v>
      </c>
    </row>
    <row r="8" customFormat="false" ht="15" hidden="false" customHeight="true" outlineLevel="0" collapsed="false">
      <c r="A8" s="52" t="s">
        <v>394</v>
      </c>
      <c r="B8" s="52" t="s">
        <v>395</v>
      </c>
      <c r="C8" s="55"/>
      <c r="D8" s="59"/>
      <c r="E8" s="55" t="n">
        <v>530</v>
      </c>
      <c r="F8" s="55"/>
      <c r="G8" s="52" t="s">
        <v>396</v>
      </c>
    </row>
    <row r="9" customFormat="false" ht="15" hidden="false" customHeight="true" outlineLevel="0" collapsed="false">
      <c r="A9" s="60" t="s">
        <v>397</v>
      </c>
      <c r="B9" s="60" t="s">
        <v>398</v>
      </c>
      <c r="C9" s="61" t="n">
        <f aca="false">C4</f>
        <v>4179.16</v>
      </c>
      <c r="D9" s="62" t="n">
        <f aca="false">E8/C9</f>
        <v>0.126819743680548</v>
      </c>
      <c r="E9" s="61"/>
      <c r="F9" s="61"/>
      <c r="G9" s="60" t="s">
        <v>399</v>
      </c>
    </row>
    <row r="10" customFormat="false" ht="15" hidden="false" customHeight="true" outlineLevel="0" collapsed="false">
      <c r="A10" s="52" t="s">
        <v>400</v>
      </c>
      <c r="B10" s="52" t="s">
        <v>401</v>
      </c>
      <c r="C10" s="55" t="n">
        <f aca="false">C6</f>
        <v>3904.16</v>
      </c>
      <c r="D10" s="59" t="n">
        <v>0.05</v>
      </c>
      <c r="E10" s="55" t="n">
        <f aca="false">C10*D10</f>
        <v>195.208</v>
      </c>
      <c r="F10" s="55"/>
      <c r="G10" s="52" t="s">
        <v>402</v>
      </c>
    </row>
    <row r="11" customFormat="false" ht="15" hidden="false" customHeight="true" outlineLevel="0" collapsed="false">
      <c r="A11" s="52" t="s">
        <v>403</v>
      </c>
      <c r="B11" s="52" t="s">
        <v>404</v>
      </c>
      <c r="C11" s="55" t="n">
        <f aca="false">C6</f>
        <v>3904.16</v>
      </c>
      <c r="D11" s="59" t="n">
        <v>0.1</v>
      </c>
      <c r="E11" s="55" t="n">
        <f aca="false">C11*D11</f>
        <v>390.416</v>
      </c>
      <c r="F11" s="55"/>
      <c r="G11" s="52" t="s">
        <v>405</v>
      </c>
    </row>
    <row r="12" customFormat="false" ht="15" hidden="false" customHeight="true" outlineLevel="0" collapsed="false">
      <c r="A12" s="21" t="s">
        <v>406</v>
      </c>
      <c r="B12" s="21" t="s">
        <v>407</v>
      </c>
      <c r="C12" s="25" t="n">
        <f aca="false">C6</f>
        <v>3904.16</v>
      </c>
      <c r="D12" s="32" t="n">
        <v>0.15</v>
      </c>
      <c r="E12" s="25" t="n">
        <f aca="false">C12*D12</f>
        <v>585.624</v>
      </c>
      <c r="F12" s="25"/>
      <c r="G12" s="21" t="s">
        <v>408</v>
      </c>
    </row>
    <row r="13" customFormat="false" ht="23.25" hidden="false" customHeight="true" outlineLevel="0" collapsed="false">
      <c r="A13" s="21" t="s">
        <v>409</v>
      </c>
      <c r="B13" s="21" t="s">
        <v>410</v>
      </c>
      <c r="C13" s="25" t="n">
        <f aca="false">C6</f>
        <v>3904.16</v>
      </c>
      <c r="D13" s="32" t="n">
        <v>0.05</v>
      </c>
      <c r="E13" s="25" t="n">
        <v>0</v>
      </c>
      <c r="F13" s="25" t="n">
        <f aca="false">C13*D13</f>
        <v>195.208</v>
      </c>
      <c r="G13" s="21" t="s">
        <v>411</v>
      </c>
    </row>
  </sheetData>
  <mergeCells count="1">
    <mergeCell ref="A1:G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7"/>
    <col collapsed="false" customWidth="true" hidden="false" outlineLevel="0" max="2" min="2" style="17" width="40"/>
    <col collapsed="false" customWidth="true" hidden="false" outlineLevel="0" max="3" min="3" style="17" width="12"/>
    <col collapsed="false" customWidth="true" hidden="false" outlineLevel="0" max="4" min="4" style="17" width="16"/>
    <col collapsed="false" customWidth="true" hidden="false" outlineLevel="0" max="5" min="5" style="17" width="50"/>
  </cols>
  <sheetData>
    <row r="1" customFormat="false" ht="15" hidden="false" customHeight="true" outlineLevel="0" collapsed="false">
      <c r="A1" s="63" t="s">
        <v>412</v>
      </c>
      <c r="B1" s="63"/>
      <c r="C1" s="63"/>
      <c r="D1" s="63"/>
      <c r="E1" s="63"/>
    </row>
    <row r="2" customFormat="false" ht="15" hidden="false" customHeight="true" outlineLevel="0" collapsed="false">
      <c r="A2" s="4"/>
      <c r="B2" s="4"/>
      <c r="C2" s="4"/>
      <c r="D2" s="4"/>
      <c r="E2" s="4"/>
    </row>
    <row r="3" customFormat="false" ht="15" hidden="false" customHeight="true" outlineLevel="0" collapsed="false">
      <c r="A3" s="64" t="s">
        <v>348</v>
      </c>
      <c r="B3" s="64" t="s">
        <v>233</v>
      </c>
      <c r="C3" s="64" t="s">
        <v>211</v>
      </c>
      <c r="D3" s="64" t="s">
        <v>234</v>
      </c>
      <c r="E3" s="64" t="s">
        <v>236</v>
      </c>
    </row>
    <row r="4" customFormat="false" ht="15" hidden="false" customHeight="true" outlineLevel="0" collapsed="false">
      <c r="A4" s="4" t="s">
        <v>413</v>
      </c>
      <c r="B4" s="4" t="s">
        <v>414</v>
      </c>
      <c r="C4" s="49"/>
      <c r="D4" s="50" t="n">
        <v>1418</v>
      </c>
      <c r="E4" s="4" t="s">
        <v>396</v>
      </c>
    </row>
    <row r="5" customFormat="false" ht="15" hidden="false" customHeight="true" outlineLevel="0" collapsed="false">
      <c r="A5" s="4" t="s">
        <v>415</v>
      </c>
      <c r="B5" s="4" t="s">
        <v>416</v>
      </c>
      <c r="C5" s="49"/>
      <c r="D5" s="50" t="n">
        <v>1485</v>
      </c>
      <c r="E5" s="4" t="s">
        <v>417</v>
      </c>
    </row>
    <row r="6" customFormat="false" ht="15" hidden="false" customHeight="true" outlineLevel="0" collapsed="false">
      <c r="A6" s="4" t="s">
        <v>418</v>
      </c>
      <c r="B6" s="4" t="s">
        <v>419</v>
      </c>
      <c r="C6" s="49" t="n">
        <v>0.03</v>
      </c>
      <c r="D6" s="50" t="n">
        <f aca="false">2024_Basis_Control!B41*C6</f>
        <v>614.12273523</v>
      </c>
      <c r="E6" s="4" t="s">
        <v>420</v>
      </c>
    </row>
    <row r="7" customFormat="false" ht="15" hidden="false" customHeight="true" outlineLevel="0" collapsed="false">
      <c r="A7" s="4" t="s">
        <v>421</v>
      </c>
      <c r="B7" s="4" t="s">
        <v>422</v>
      </c>
      <c r="C7" s="49" t="n">
        <v>0.03</v>
      </c>
      <c r="D7" s="50" t="n">
        <f aca="false">Equity_Compensation!D7</f>
        <v>362.26773</v>
      </c>
      <c r="E7" s="4" t="s">
        <v>423</v>
      </c>
    </row>
    <row r="8" customFormat="false" ht="15" hidden="false" customHeight="true" outlineLevel="0" collapsed="false">
      <c r="A8" s="4" t="s">
        <v>424</v>
      </c>
      <c r="B8" s="4" t="s">
        <v>425</v>
      </c>
      <c r="C8" s="49" t="n">
        <v>0.03</v>
      </c>
      <c r="D8" s="50" t="n">
        <f aca="false">Equity_Compensation!D8</f>
        <v>57</v>
      </c>
      <c r="E8" s="4" t="s">
        <v>426</v>
      </c>
    </row>
    <row r="9" customFormat="false" ht="15" hidden="false" customHeight="true" outlineLevel="0" collapsed="false">
      <c r="A9" s="4" t="s">
        <v>427</v>
      </c>
      <c r="B9" s="4" t="s">
        <v>428</v>
      </c>
      <c r="C9" s="49"/>
      <c r="D9" s="50" t="n">
        <f aca="false">D6+D7</f>
        <v>976.39046523</v>
      </c>
      <c r="E9" s="4" t="s">
        <v>429</v>
      </c>
    </row>
    <row r="10" customFormat="false" ht="15" hidden="false" customHeight="true" outlineLevel="0" collapsed="false">
      <c r="A10" s="4" t="s">
        <v>430</v>
      </c>
      <c r="B10" s="4" t="s">
        <v>431</v>
      </c>
      <c r="C10" s="49"/>
      <c r="D10" s="50" t="n">
        <f aca="false">NLA_Model!E23</f>
        <v>154.13732</v>
      </c>
      <c r="E10" s="4" t="s">
        <v>432</v>
      </c>
    </row>
    <row r="11" customFormat="false" ht="15" hidden="false" customHeight="true" outlineLevel="0" collapsed="false">
      <c r="A11" s="4" t="s">
        <v>433</v>
      </c>
      <c r="B11" s="4" t="s">
        <v>434</v>
      </c>
      <c r="C11" s="49"/>
      <c r="D11" s="50" t="n">
        <f aca="false">SS_Trust_Investment!C12</f>
        <v>193.05</v>
      </c>
      <c r="E11" s="4" t="s">
        <v>435</v>
      </c>
    </row>
    <row r="12" customFormat="false" ht="15" hidden="false" customHeight="true" outlineLevel="0" collapsed="false">
      <c r="A12" s="65" t="s">
        <v>436</v>
      </c>
      <c r="B12" s="65" t="s">
        <v>437</v>
      </c>
      <c r="C12" s="66"/>
      <c r="D12" s="67" t="n">
        <f aca="false">SUM(D9:D11)</f>
        <v>1323.57778523</v>
      </c>
      <c r="E12" s="65" t="s">
        <v>438</v>
      </c>
    </row>
    <row r="13" customFormat="false" ht="15" hidden="false" customHeight="true" outlineLevel="0" collapsed="false">
      <c r="A13" s="68" t="s">
        <v>439</v>
      </c>
      <c r="B13" s="68" t="s">
        <v>440</v>
      </c>
      <c r="C13" s="69"/>
      <c r="D13" s="70" t="n">
        <f aca="false">D12-D5</f>
        <v>-161.42221477</v>
      </c>
      <c r="E13" s="68" t="s">
        <v>441</v>
      </c>
    </row>
    <row r="14" customFormat="false" ht="23.25" hidden="false" customHeight="true" outlineLevel="0" collapsed="false">
      <c r="A14" s="4" t="s">
        <v>442</v>
      </c>
      <c r="B14" s="4" t="s">
        <v>443</v>
      </c>
      <c r="C14" s="49"/>
      <c r="D14" s="50" t="n">
        <f aca="false">Noncitizen_SS_Model!B17</f>
        <v>52.40796418688</v>
      </c>
      <c r="E14" s="4" t="s">
        <v>444</v>
      </c>
    </row>
    <row r="15" customFormat="false" ht="15" hidden="false" customHeight="true" outlineLevel="0" collapsed="false">
      <c r="A15" s="4" t="s">
        <v>445</v>
      </c>
      <c r="B15" s="4" t="s">
        <v>446</v>
      </c>
      <c r="C15" s="49"/>
      <c r="D15" s="50" t="n">
        <f aca="false">Noncitizen_SS_Model!B21</f>
        <v>18</v>
      </c>
      <c r="E15" s="4" t="s">
        <v>447</v>
      </c>
    </row>
    <row r="16" customFormat="false" ht="15" hidden="false" customHeight="true" outlineLevel="0" collapsed="false">
      <c r="A16" s="4" t="s">
        <v>448</v>
      </c>
      <c r="B16" s="50" t="s">
        <v>449</v>
      </c>
      <c r="C16" s="49"/>
      <c r="D16" s="50" t="n">
        <f aca="false">D13+D14+D15</f>
        <v>-91.01425058312</v>
      </c>
      <c r="E16" s="4" t="s">
        <v>450</v>
      </c>
    </row>
    <row r="17" customFormat="false" ht="15" hidden="false" customHeight="true" outlineLevel="0" collapsed="false">
      <c r="A17" s="4" t="s">
        <v>451</v>
      </c>
      <c r="B17" s="50" t="n">
        <f aca="false">NLA_Model!E22</f>
        <v>67.71298</v>
      </c>
      <c r="C17" s="49"/>
      <c r="D17" s="50" t="n">
        <f aca="false">D9+B17+SS_Trust_Investment!C12-D5</f>
        <v>-247.84655477</v>
      </c>
      <c r="E17" s="4" t="s">
        <v>452</v>
      </c>
    </row>
    <row r="18" customFormat="false" ht="15" hidden="false" customHeight="true" outlineLevel="0" collapsed="false">
      <c r="A18" s="4"/>
      <c r="B18" s="4"/>
      <c r="C18" s="4"/>
      <c r="D18" s="4"/>
      <c r="E18" s="4"/>
    </row>
    <row r="19" customFormat="false" ht="15" hidden="false" customHeight="true" outlineLevel="0" collapsed="false">
      <c r="A19" s="4" t="s">
        <v>453</v>
      </c>
      <c r="B19" s="4"/>
      <c r="C19" s="4"/>
      <c r="D19" s="4"/>
      <c r="E19" s="4"/>
    </row>
  </sheetData>
  <mergeCells count="1">
    <mergeCell ref="A1:E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3"/>
    <col collapsed="false" customWidth="true" hidden="false" outlineLevel="0" max="2" min="2" style="17" width="20"/>
    <col collapsed="false" customWidth="true" hidden="false" outlineLevel="0" max="3" min="3" style="17" width="48"/>
  </cols>
  <sheetData>
    <row r="1" customFormat="false" ht="15" hidden="false" customHeight="true" outlineLevel="0" collapsed="false">
      <c r="A1" s="63" t="s">
        <v>454</v>
      </c>
      <c r="B1" s="63"/>
      <c r="C1" s="63"/>
    </row>
    <row r="2" customFormat="false" ht="15" hidden="false" customHeight="true" outlineLevel="0" collapsed="false">
      <c r="A2" s="71" t="s">
        <v>455</v>
      </c>
      <c r="B2" s="71"/>
      <c r="C2" s="71"/>
    </row>
    <row r="3" customFormat="false" ht="15" hidden="false" customHeight="true" outlineLevel="0" collapsed="false">
      <c r="A3" s="64" t="s">
        <v>456</v>
      </c>
      <c r="B3" s="64" t="s">
        <v>457</v>
      </c>
      <c r="C3" s="64" t="s">
        <v>236</v>
      </c>
    </row>
    <row r="4" customFormat="false" ht="15" hidden="false" customHeight="true" outlineLevel="0" collapsed="false">
      <c r="A4" s="4" t="s">
        <v>458</v>
      </c>
      <c r="B4" s="72" t="n">
        <v>-28.7596262128973</v>
      </c>
      <c r="C4" s="4" t="s">
        <v>459</v>
      </c>
    </row>
    <row r="5" customFormat="false" ht="15" hidden="false" customHeight="true" outlineLevel="0" collapsed="false">
      <c r="A5" s="4" t="s">
        <v>460</v>
      </c>
      <c r="B5" s="72" t="n">
        <v>3.36857</v>
      </c>
      <c r="C5" s="4" t="s">
        <v>461</v>
      </c>
    </row>
    <row r="6" customFormat="false" ht="15" hidden="false" customHeight="true" outlineLevel="0" collapsed="false">
      <c r="A6" s="4" t="s">
        <v>462</v>
      </c>
      <c r="B6" s="72" t="n">
        <f aca="false">Idle_Wealth_Levy!F13</f>
        <v>47.7145046</v>
      </c>
      <c r="C6" s="4" t="s">
        <v>463</v>
      </c>
    </row>
    <row r="7" customFormat="false" ht="15" hidden="false" customHeight="true" outlineLevel="0" collapsed="false">
      <c r="A7" s="4" t="s">
        <v>288</v>
      </c>
      <c r="B7" s="72" t="n">
        <f aca="false">Offshore_Capital_Duty!F12</f>
        <v>19.2</v>
      </c>
      <c r="C7" s="4" t="s">
        <v>464</v>
      </c>
    </row>
    <row r="8" customFormat="false" ht="15" hidden="false" customHeight="true" outlineLevel="0" collapsed="false">
      <c r="A8" s="4" t="s">
        <v>465</v>
      </c>
      <c r="B8" s="72" t="n">
        <f aca="false">High_Wealth_Compliance!F9</f>
        <v>38</v>
      </c>
      <c r="C8" s="4" t="s">
        <v>466</v>
      </c>
    </row>
    <row r="9" customFormat="false" ht="15" hidden="false" customHeight="true" outlineLevel="0" collapsed="false">
      <c r="A9" s="4" t="s">
        <v>294</v>
      </c>
      <c r="B9" s="72" t="n">
        <v>-4</v>
      </c>
      <c r="C9" s="4" t="s">
        <v>467</v>
      </c>
    </row>
    <row r="10" customFormat="false" ht="15" hidden="false" customHeight="true" outlineLevel="0" collapsed="false">
      <c r="A10" s="4" t="s">
        <v>468</v>
      </c>
      <c r="B10" s="72" t="n">
        <f aca="false">B4+B5+B6+B7+B8+B9</f>
        <v>75.5234483871027</v>
      </c>
      <c r="C10" s="4" t="s">
        <v>469</v>
      </c>
    </row>
    <row r="11" customFormat="false" ht="23.25" hidden="false" customHeight="true" outlineLevel="0" collapsed="false">
      <c r="A11" s="4" t="s">
        <v>470</v>
      </c>
      <c r="B11" s="72" t="n">
        <f aca="false">Deficit_Views!B43</f>
        <v>318.956061063382</v>
      </c>
      <c r="C11" s="4" t="s">
        <v>471</v>
      </c>
    </row>
    <row r="12" customFormat="false" ht="15" hidden="false" customHeight="true" outlineLevel="0" collapsed="false">
      <c r="A12" s="4" t="s">
        <v>472</v>
      </c>
      <c r="B12" s="72" t="n">
        <f aca="false">Deficit_Views!B45</f>
        <v>0</v>
      </c>
      <c r="C12" s="4" t="s">
        <v>473</v>
      </c>
    </row>
    <row r="13" customFormat="false" ht="15" hidden="false" customHeight="true" outlineLevel="0" collapsed="false">
      <c r="A13" s="4" t="s">
        <v>474</v>
      </c>
      <c r="B13" s="72" t="n">
        <f aca="false">Deficit_Views!B44</f>
        <v>376.50949205</v>
      </c>
      <c r="C13" s="4" t="s">
        <v>475</v>
      </c>
    </row>
    <row r="14" customFormat="false" ht="15" hidden="false" customHeight="true" outlineLevel="0" collapsed="false">
      <c r="A14" s="73" t="s">
        <v>476</v>
      </c>
      <c r="B14" s="73"/>
      <c r="C14" s="73"/>
    </row>
    <row r="15" customFormat="false" ht="15" hidden="false" customHeight="true" outlineLevel="0" collapsed="false">
      <c r="A15" s="17" t="s">
        <v>477</v>
      </c>
      <c r="B15" s="29" t="n">
        <v>-1833</v>
      </c>
      <c r="C15" s="17" t="s">
        <v>478</v>
      </c>
    </row>
    <row r="16" customFormat="false" ht="15" hidden="false" customHeight="true" outlineLevel="0" collapsed="false">
      <c r="A16" s="17" t="s">
        <v>479</v>
      </c>
      <c r="B16" s="29" t="n">
        <v>0</v>
      </c>
      <c r="C16" s="17" t="s">
        <v>480</v>
      </c>
    </row>
  </sheetData>
  <mergeCells count="3">
    <mergeCell ref="A1:C1"/>
    <mergeCell ref="A2:C2"/>
    <mergeCell ref="A14:C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74" t="s">
        <v>481</v>
      </c>
    </row>
    <row r="3" customFormat="false" ht="15" hidden="false" customHeight="true" outlineLevel="0" collapsed="false">
      <c r="A3" s="74" t="s">
        <v>348</v>
      </c>
      <c r="B3" s="74" t="s">
        <v>233</v>
      </c>
      <c r="C3" s="74" t="s">
        <v>482</v>
      </c>
      <c r="D3" s="74" t="s">
        <v>234</v>
      </c>
      <c r="E3" s="74" t="s">
        <v>236</v>
      </c>
    </row>
    <row r="4" customFormat="false" ht="15" hidden="false" customHeight="true" outlineLevel="0" collapsed="false">
      <c r="A4" s="17" t="s">
        <v>483</v>
      </c>
      <c r="B4" s="17" t="s">
        <v>102</v>
      </c>
      <c r="D4" s="17" t="n">
        <v>2700</v>
      </c>
      <c r="E4" s="17" t="s">
        <v>484</v>
      </c>
    </row>
    <row r="5" customFormat="false" ht="15" hidden="false" customHeight="true" outlineLevel="0" collapsed="false">
      <c r="A5" s="17" t="s">
        <v>485</v>
      </c>
      <c r="B5" s="17" t="s">
        <v>486</v>
      </c>
      <c r="C5" s="17" t="n">
        <v>0.5</v>
      </c>
      <c r="D5" s="17" t="n">
        <f aca="false">D4*C5</f>
        <v>1350</v>
      </c>
      <c r="E5" s="17" t="s">
        <v>487</v>
      </c>
    </row>
    <row r="6" customFormat="false" ht="15" hidden="false" customHeight="true" outlineLevel="0" collapsed="false">
      <c r="A6" s="17" t="s">
        <v>488</v>
      </c>
      <c r="B6" s="17" t="s">
        <v>489</v>
      </c>
      <c r="C6" s="17" t="n">
        <v>0.5</v>
      </c>
      <c r="D6" s="17" t="n">
        <f aca="false">D4*C6</f>
        <v>1350</v>
      </c>
      <c r="E6" s="17" t="s">
        <v>490</v>
      </c>
    </row>
    <row r="7" customFormat="false" ht="15" hidden="false" customHeight="true" outlineLevel="0" collapsed="false">
      <c r="A7" s="17" t="s">
        <v>491</v>
      </c>
      <c r="B7" s="17" t="s">
        <v>492</v>
      </c>
      <c r="C7" s="17" t="n">
        <v>0.099</v>
      </c>
      <c r="E7" s="17" t="s">
        <v>493</v>
      </c>
    </row>
    <row r="8" customFormat="false" ht="15" hidden="false" customHeight="true" outlineLevel="0" collapsed="false">
      <c r="A8" s="17" t="s">
        <v>494</v>
      </c>
      <c r="B8" s="17" t="s">
        <v>495</v>
      </c>
      <c r="C8" s="17" t="n">
        <v>0.044</v>
      </c>
      <c r="E8" s="17" t="s">
        <v>496</v>
      </c>
    </row>
    <row r="10" customFormat="false" ht="15" hidden="false" customHeight="true" outlineLevel="0" collapsed="false">
      <c r="A10" s="74" t="s">
        <v>497</v>
      </c>
      <c r="B10" s="74" t="s">
        <v>498</v>
      </c>
      <c r="C10" s="74" t="s">
        <v>499</v>
      </c>
      <c r="D10" s="74" t="s">
        <v>500</v>
      </c>
    </row>
    <row r="11" customFormat="false" ht="15" hidden="false" customHeight="true" outlineLevel="0" collapsed="false">
      <c r="A11" s="17" t="s">
        <v>501</v>
      </c>
      <c r="B11" s="17" t="n">
        <f aca="false">(0.08+0.044)/2</f>
        <v>0.062</v>
      </c>
      <c r="C11" s="17" t="n">
        <f aca="false">D4*B11</f>
        <v>167.4</v>
      </c>
      <c r="D11" s="17" t="s">
        <v>502</v>
      </c>
    </row>
    <row r="12" customFormat="false" ht="15" hidden="false" customHeight="true" outlineLevel="0" collapsed="false">
      <c r="A12" s="17" t="s">
        <v>503</v>
      </c>
      <c r="B12" s="17" t="n">
        <f aca="false">(C7+C8)/2</f>
        <v>0.0715</v>
      </c>
      <c r="C12" s="17" t="n">
        <f aca="false">D4*B12</f>
        <v>193.05</v>
      </c>
      <c r="D12" s="17" t="s">
        <v>504</v>
      </c>
    </row>
    <row r="13" customFormat="false" ht="15" hidden="false" customHeight="true" outlineLevel="0" collapsed="false">
      <c r="A13" s="17" t="s">
        <v>505</v>
      </c>
      <c r="B13" s="17" t="n">
        <f aca="false">(0.11+0.044)/2</f>
        <v>0.077</v>
      </c>
      <c r="C13" s="17" t="n">
        <f aca="false">D4*B13</f>
        <v>207.9</v>
      </c>
      <c r="D13" s="17" t="s">
        <v>506</v>
      </c>
    </row>
    <row r="15" customFormat="false" ht="15" hidden="false" customHeight="true" outlineLevel="0" collapsed="false">
      <c r="A15" s="74" t="s">
        <v>507</v>
      </c>
    </row>
    <row r="16" customFormat="false" ht="15" hidden="false" customHeight="true" outlineLevel="0" collapsed="false">
      <c r="A16" s="17" t="s">
        <v>508</v>
      </c>
      <c r="B16" s="17" t="n">
        <v>0.025</v>
      </c>
      <c r="C16" s="17" t="n">
        <f aca="false">D4*B16</f>
        <v>67.5</v>
      </c>
      <c r="D16" s="17" t="s">
        <v>509</v>
      </c>
    </row>
    <row r="17" customFormat="false" ht="15" hidden="false" customHeight="true" outlineLevel="0" collapsed="false">
      <c r="A17" s="17" t="s">
        <v>510</v>
      </c>
      <c r="C17" s="17" t="n">
        <f aca="false">C12-C16</f>
        <v>125.55</v>
      </c>
      <c r="D17" s="17" t="s">
        <v>511</v>
      </c>
    </row>
    <row r="19" customFormat="false" ht="15" hidden="false" customHeight="true" outlineLevel="0" collapsed="false">
      <c r="A19" s="17" t="s">
        <v>512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4"/>
    <col collapsed="false" customWidth="true" hidden="false" outlineLevel="0" max="2" min="2" style="17" width="36"/>
    <col collapsed="false" customWidth="true" hidden="false" outlineLevel="0" max="3" min="3" style="17" width="12"/>
    <col collapsed="false" customWidth="true" hidden="false" outlineLevel="0" max="4" min="4" style="17" width="16"/>
    <col collapsed="false" customWidth="true" hidden="false" outlineLevel="0" max="5" min="5" style="17" width="22"/>
    <col collapsed="false" customWidth="true" hidden="false" outlineLevel="0" max="6" min="6" style="17" width="48"/>
  </cols>
  <sheetData>
    <row r="1" customFormat="false" ht="30" hidden="false" customHeight="true" outlineLevel="0" collapsed="false">
      <c r="A1" s="63" t="s">
        <v>513</v>
      </c>
      <c r="B1" s="63"/>
      <c r="C1" s="63"/>
      <c r="D1" s="63"/>
      <c r="E1" s="63"/>
      <c r="F1" s="63"/>
    </row>
    <row r="2" customFormat="false" ht="15" hidden="false" customHeight="true" outlineLevel="0" collapsed="false">
      <c r="A2" s="4"/>
      <c r="B2" s="4"/>
      <c r="C2" s="4"/>
      <c r="D2" s="4"/>
      <c r="E2" s="4"/>
      <c r="F2" s="4"/>
    </row>
    <row r="3" customFormat="false" ht="15" hidden="false" customHeight="true" outlineLevel="0" collapsed="false">
      <c r="A3" s="64" t="s">
        <v>348</v>
      </c>
      <c r="B3" s="64" t="s">
        <v>233</v>
      </c>
      <c r="C3" s="64" t="s">
        <v>211</v>
      </c>
      <c r="D3" s="64" t="s">
        <v>234</v>
      </c>
      <c r="E3" s="64" t="s">
        <v>514</v>
      </c>
      <c r="F3" s="64" t="s">
        <v>236</v>
      </c>
    </row>
    <row r="4" customFormat="false" ht="15" hidden="false" customHeight="true" outlineLevel="0" collapsed="false">
      <c r="A4" s="4" t="s">
        <v>515</v>
      </c>
      <c r="B4" s="4" t="s">
        <v>516</v>
      </c>
      <c r="C4" s="49"/>
      <c r="D4" s="50" t="n">
        <v>5300</v>
      </c>
      <c r="E4" s="4" t="s">
        <v>517</v>
      </c>
      <c r="F4" s="4" t="s">
        <v>518</v>
      </c>
    </row>
    <row r="5" customFormat="false" ht="15" hidden="false" customHeight="true" outlineLevel="0" collapsed="false">
      <c r="A5" s="4" t="s">
        <v>519</v>
      </c>
      <c r="B5" s="4" t="s">
        <v>520</v>
      </c>
      <c r="C5" s="49" t="n">
        <v>-0.2</v>
      </c>
      <c r="D5" s="50" t="n">
        <f aca="false">D4*C5</f>
        <v>-1060</v>
      </c>
      <c r="E5" s="4" t="s">
        <v>521</v>
      </c>
      <c r="F5" s="4" t="s">
        <v>522</v>
      </c>
    </row>
    <row r="6" customFormat="false" ht="15" hidden="false" customHeight="true" outlineLevel="0" collapsed="false">
      <c r="A6" s="4" t="s">
        <v>523</v>
      </c>
      <c r="B6" s="4" t="s">
        <v>524</v>
      </c>
      <c r="C6" s="49"/>
      <c r="D6" s="50" t="n">
        <f aca="false">D4+D5</f>
        <v>4240</v>
      </c>
      <c r="E6" s="4" t="s">
        <v>525</v>
      </c>
      <c r="F6" s="4" t="s">
        <v>526</v>
      </c>
    </row>
    <row r="7" customFormat="false" ht="24" hidden="false" customHeight="true" outlineLevel="0" collapsed="false">
      <c r="A7" s="4" t="s">
        <v>527</v>
      </c>
      <c r="B7" s="4" t="s">
        <v>528</v>
      </c>
      <c r="C7" s="49"/>
      <c r="D7" s="50" t="n">
        <f aca="false">2024_Basis_Control!B41*0.05*0.72527</f>
        <v>742.341326967103</v>
      </c>
      <c r="E7" s="4" t="s">
        <v>529</v>
      </c>
      <c r="F7" s="4" t="s">
        <v>530</v>
      </c>
    </row>
    <row r="8" customFormat="false" ht="24" hidden="false" customHeight="true" outlineLevel="0" collapsed="false">
      <c r="A8" s="4" t="s">
        <v>531</v>
      </c>
      <c r="B8" s="4" t="s">
        <v>532</v>
      </c>
      <c r="C8" s="49"/>
      <c r="D8" s="50" t="n">
        <f aca="false">2024_Basis_Control!B41*0.05-D7</f>
        <v>281.196565082897</v>
      </c>
      <c r="E8" s="4" t="s">
        <v>529</v>
      </c>
      <c r="F8" s="4" t="s">
        <v>533</v>
      </c>
    </row>
    <row r="9" customFormat="false" ht="15" hidden="false" customHeight="true" outlineLevel="0" collapsed="false">
      <c r="A9" s="4" t="s">
        <v>534</v>
      </c>
      <c r="B9" s="4" t="s">
        <v>535</v>
      </c>
      <c r="C9" s="49" t="n">
        <v>0.05</v>
      </c>
      <c r="D9" s="50" t="n">
        <f aca="false">2024_Basis_Control!B6*C9</f>
        <v>585.44455</v>
      </c>
      <c r="E9" s="4" t="s">
        <v>529</v>
      </c>
      <c r="F9" s="4" t="s">
        <v>536</v>
      </c>
    </row>
    <row r="10" customFormat="false" ht="15" hidden="false" customHeight="true" outlineLevel="0" collapsed="false">
      <c r="A10" s="4" t="s">
        <v>537</v>
      </c>
      <c r="B10" s="4" t="s">
        <v>538</v>
      </c>
      <c r="C10" s="49"/>
      <c r="D10" s="50" t="n">
        <f aca="false">SUM(D7:D9)</f>
        <v>1608.98244205</v>
      </c>
      <c r="E10" s="4" t="s">
        <v>529</v>
      </c>
      <c r="F10" s="4" t="s">
        <v>539</v>
      </c>
    </row>
    <row r="11" customFormat="false" ht="15" hidden="false" customHeight="true" outlineLevel="0" collapsed="false">
      <c r="A11" s="4" t="s">
        <v>72</v>
      </c>
      <c r="B11" s="4" t="s">
        <v>540</v>
      </c>
      <c r="C11" s="49"/>
      <c r="D11" s="50" t="n">
        <f aca="false">2024_Basis_Control!B13</f>
        <v>1643</v>
      </c>
      <c r="E11" s="4" t="s">
        <v>541</v>
      </c>
      <c r="F11" s="4" t="s">
        <v>542</v>
      </c>
    </row>
    <row r="12" customFormat="false" ht="24" hidden="false" customHeight="true" outlineLevel="0" collapsed="false">
      <c r="A12" s="4" t="s">
        <v>543</v>
      </c>
      <c r="B12" s="4" t="s">
        <v>544</v>
      </c>
      <c r="C12" s="49"/>
      <c r="D12" s="50" t="n">
        <f aca="false">2024_Basis_Control!B38-2024_Basis_Control!B39</f>
        <v>658</v>
      </c>
      <c r="E12" s="4" t="s">
        <v>541</v>
      </c>
      <c r="F12" s="4" t="s">
        <v>545</v>
      </c>
    </row>
    <row r="13" customFormat="false" ht="24" hidden="false" customHeight="true" outlineLevel="0" collapsed="false">
      <c r="A13" s="4" t="s">
        <v>546</v>
      </c>
      <c r="B13" s="4" t="s">
        <v>547</v>
      </c>
      <c r="C13" s="49"/>
      <c r="D13" s="50" t="n">
        <v>100</v>
      </c>
      <c r="E13" s="4" t="s">
        <v>548</v>
      </c>
      <c r="F13" s="4" t="s">
        <v>549</v>
      </c>
    </row>
    <row r="14" customFormat="false" ht="24" hidden="false" customHeight="true" outlineLevel="0" collapsed="false">
      <c r="A14" s="4" t="s">
        <v>550</v>
      </c>
      <c r="B14" s="4" t="s">
        <v>551</v>
      </c>
      <c r="C14" s="49"/>
      <c r="D14" s="50" t="n">
        <f aca="false">NHDC_Exports!D10</f>
        <v>82.5825</v>
      </c>
      <c r="E14" s="4" t="s">
        <v>552</v>
      </c>
      <c r="F14" s="4" t="s">
        <v>553</v>
      </c>
    </row>
    <row r="15" customFormat="false" ht="24" hidden="false" customHeight="true" outlineLevel="0" collapsed="false">
      <c r="A15" s="4" t="s">
        <v>554</v>
      </c>
      <c r="B15" s="4" t="s">
        <v>555</v>
      </c>
      <c r="C15" s="49"/>
      <c r="D15" s="50" t="n">
        <v>13</v>
      </c>
      <c r="E15" s="4" t="s">
        <v>548</v>
      </c>
      <c r="F15" s="4" t="s">
        <v>556</v>
      </c>
    </row>
    <row r="16" customFormat="false" ht="15" hidden="false" customHeight="true" outlineLevel="0" collapsed="false">
      <c r="A16" s="4" t="s">
        <v>557</v>
      </c>
      <c r="B16" s="4" t="s">
        <v>558</v>
      </c>
      <c r="C16" s="49" t="n">
        <v>0.05</v>
      </c>
      <c r="D16" s="50" t="n">
        <f aca="false">2024_Basis_Control!B37*C16</f>
        <v>26.5</v>
      </c>
      <c r="E16" s="4" t="s">
        <v>541</v>
      </c>
      <c r="F16" s="4" t="s">
        <v>559</v>
      </c>
    </row>
    <row r="17" customFormat="false" ht="24" hidden="false" customHeight="true" outlineLevel="0" collapsed="false">
      <c r="A17" s="4" t="s">
        <v>560</v>
      </c>
      <c r="B17" s="4" t="s">
        <v>561</v>
      </c>
      <c r="C17" s="49"/>
      <c r="D17" s="50" t="n">
        <f aca="false">SUM(D11:D12)+D14+D16</f>
        <v>2410.0825</v>
      </c>
      <c r="E17" s="4" t="s">
        <v>541</v>
      </c>
      <c r="F17" s="4" t="s">
        <v>562</v>
      </c>
    </row>
    <row r="18" customFormat="false" ht="24" hidden="false" customHeight="true" outlineLevel="0" collapsed="false">
      <c r="A18" s="4" t="s">
        <v>563</v>
      </c>
      <c r="B18" s="4" t="s">
        <v>535</v>
      </c>
      <c r="C18" s="49" t="n">
        <v>0.05</v>
      </c>
      <c r="D18" s="50" t="n">
        <f aca="false">2024_Basis_Control!B6*C18</f>
        <v>585.44455</v>
      </c>
      <c r="E18" s="4" t="s">
        <v>564</v>
      </c>
      <c r="F18" s="4" t="s">
        <v>565</v>
      </c>
    </row>
    <row r="19" customFormat="false" ht="24" hidden="false" customHeight="true" outlineLevel="0" collapsed="false">
      <c r="A19" s="75" t="s">
        <v>566</v>
      </c>
      <c r="B19" s="75" t="s">
        <v>567</v>
      </c>
      <c r="C19" s="76"/>
      <c r="D19" s="77" t="n">
        <f aca="false">D10+D17+D18</f>
        <v>4604.50949205</v>
      </c>
      <c r="E19" s="75" t="s">
        <v>568</v>
      </c>
      <c r="F19" s="75" t="s">
        <v>569</v>
      </c>
    </row>
    <row r="20" customFormat="false" ht="15" hidden="false" customHeight="true" outlineLevel="0" collapsed="false">
      <c r="A20" s="75" t="s">
        <v>570</v>
      </c>
      <c r="B20" s="75" t="s">
        <v>571</v>
      </c>
      <c r="C20" s="76"/>
      <c r="D20" s="78" t="n">
        <f aca="false">D19-D6</f>
        <v>364.50949205</v>
      </c>
      <c r="E20" s="75" t="s">
        <v>572</v>
      </c>
      <c r="F20" s="75" t="s">
        <v>573</v>
      </c>
    </row>
    <row r="21" customFormat="false" ht="15" hidden="false" customHeight="true" outlineLevel="0" collapsed="false">
      <c r="A21" s="4" t="s">
        <v>574</v>
      </c>
      <c r="B21" s="4" t="s">
        <v>575</v>
      </c>
      <c r="C21" s="49" t="n">
        <v>-0.22</v>
      </c>
      <c r="D21" s="50" t="n">
        <f aca="false">D4*(1+C21)</f>
        <v>4134</v>
      </c>
      <c r="E21" s="4" t="s">
        <v>576</v>
      </c>
      <c r="F21" s="4" t="s">
        <v>577</v>
      </c>
    </row>
    <row r="22" customFormat="false" ht="15" hidden="false" customHeight="true" outlineLevel="0" collapsed="false">
      <c r="A22" s="4" t="s">
        <v>578</v>
      </c>
      <c r="B22" s="4" t="s">
        <v>579</v>
      </c>
      <c r="C22" s="49"/>
      <c r="D22" s="50" t="n">
        <f aca="false">D19-D21</f>
        <v>470.50949205</v>
      </c>
      <c r="E22" s="4" t="s">
        <v>576</v>
      </c>
      <c r="F22" s="4" t="s">
        <v>573</v>
      </c>
    </row>
    <row r="23" customFormat="false" ht="33.75" hidden="false" customHeight="true" outlineLevel="0" collapsed="false">
      <c r="A23" s="79" t="s">
        <v>580</v>
      </c>
      <c r="B23" s="79" t="s">
        <v>581</v>
      </c>
      <c r="C23" s="80"/>
      <c r="D23" s="81" t="n">
        <f aca="false">D13+D15</f>
        <v>113</v>
      </c>
      <c r="E23" s="79" t="s">
        <v>582</v>
      </c>
      <c r="F23" s="79" t="s">
        <v>583</v>
      </c>
    </row>
    <row r="24" customFormat="false" ht="51.75" hidden="false" customHeight="true" outlineLevel="0" collapsed="false">
      <c r="A24" s="82" t="s">
        <v>584</v>
      </c>
      <c r="B24" s="82"/>
      <c r="C24" s="82"/>
      <c r="D24" s="82"/>
      <c r="E24" s="82"/>
      <c r="F24" s="82"/>
    </row>
  </sheetData>
  <mergeCells count="2">
    <mergeCell ref="A1:F1"/>
    <mergeCell ref="A24:F2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74" t="s">
        <v>585</v>
      </c>
    </row>
    <row r="3" customFormat="false" ht="15" hidden="false" customHeight="true" outlineLevel="0" collapsed="false">
      <c r="A3" s="74" t="s">
        <v>348</v>
      </c>
      <c r="B3" s="74" t="s">
        <v>233</v>
      </c>
      <c r="C3" s="74" t="s">
        <v>586</v>
      </c>
      <c r="D3" s="74" t="s">
        <v>234</v>
      </c>
      <c r="E3" s="74" t="s">
        <v>236</v>
      </c>
    </row>
    <row r="4" customFormat="false" ht="15" hidden="false" customHeight="true" outlineLevel="0" collapsed="false">
      <c r="A4" s="17" t="s">
        <v>103</v>
      </c>
      <c r="B4" s="17" t="s">
        <v>587</v>
      </c>
      <c r="D4" s="17" t="n">
        <f aca="false">2024_Basis_Control!B22</f>
        <v>455</v>
      </c>
      <c r="E4" s="17" t="s">
        <v>588</v>
      </c>
    </row>
    <row r="5" customFormat="false" ht="15" hidden="false" customHeight="true" outlineLevel="0" collapsed="false">
      <c r="A5" s="17" t="s">
        <v>589</v>
      </c>
      <c r="B5" s="17" t="s">
        <v>590</v>
      </c>
      <c r="C5" s="17" t="n">
        <v>0.55</v>
      </c>
      <c r="E5" s="17" t="s">
        <v>591</v>
      </c>
    </row>
    <row r="7" customFormat="false" ht="15" hidden="false" customHeight="true" outlineLevel="0" collapsed="false">
      <c r="A7" s="74" t="s">
        <v>497</v>
      </c>
      <c r="B7" s="74" t="s">
        <v>592</v>
      </c>
      <c r="C7" s="74" t="s">
        <v>593</v>
      </c>
      <c r="D7" s="74" t="s">
        <v>594</v>
      </c>
    </row>
    <row r="8" customFormat="false" ht="15" hidden="false" customHeight="true" outlineLevel="0" collapsed="false">
      <c r="A8" s="17" t="s">
        <v>595</v>
      </c>
      <c r="B8" s="17" t="n">
        <v>0.05</v>
      </c>
      <c r="C8" s="17" t="n">
        <f aca="false">D4*B8</f>
        <v>22.75</v>
      </c>
      <c r="D8" s="17" t="n">
        <f aca="false">C8*$C$5</f>
        <v>12.5125</v>
      </c>
    </row>
    <row r="9" customFormat="false" ht="15" hidden="false" customHeight="true" outlineLevel="0" collapsed="false">
      <c r="A9" s="17" t="s">
        <v>503</v>
      </c>
      <c r="B9" s="17" t="n">
        <v>0.2</v>
      </c>
      <c r="C9" s="17" t="n">
        <f aca="false">D4*B9</f>
        <v>91</v>
      </c>
      <c r="D9" s="17" t="n">
        <f aca="false">C9*$C$5</f>
        <v>50.05</v>
      </c>
    </row>
    <row r="10" customFormat="false" ht="15" hidden="false" customHeight="true" outlineLevel="0" collapsed="false">
      <c r="A10" s="17" t="s">
        <v>596</v>
      </c>
      <c r="B10" s="17" t="n">
        <v>0.33</v>
      </c>
      <c r="C10" s="17" t="n">
        <f aca="false">D4*B10</f>
        <v>150.15</v>
      </c>
      <c r="D10" s="17" t="n">
        <f aca="false">C10*$C$5</f>
        <v>82.5825</v>
      </c>
    </row>
    <row r="12" customFormat="false" ht="15" hidden="false" customHeight="true" outlineLevel="0" collapsed="false">
      <c r="A12" s="17" t="s">
        <v>597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3" min="2" style="1" width="18"/>
    <col collapsed="false" customWidth="true" hidden="false" outlineLevel="0" max="4" min="4" style="1" width="40"/>
    <col collapsed="false" customWidth="true" hidden="false" outlineLevel="0" max="5" min="5" style="1" width="14"/>
    <col collapsed="false" customWidth="true" hidden="false" outlineLevel="0" max="6" min="6" style="1" width="58"/>
  </cols>
  <sheetData>
    <row r="1" customFormat="false" ht="17.25" hidden="false" customHeight="true" outlineLevel="0" collapsed="false">
      <c r="A1" s="12" t="s">
        <v>598</v>
      </c>
      <c r="B1" s="12"/>
      <c r="C1" s="12"/>
      <c r="D1" s="12"/>
      <c r="E1" s="12"/>
      <c r="F1" s="12"/>
    </row>
    <row r="3" customFormat="false" ht="15" hidden="false" customHeight="true" outlineLevel="0" collapsed="false">
      <c r="A3" s="13" t="s">
        <v>348</v>
      </c>
      <c r="B3" s="13" t="s">
        <v>599</v>
      </c>
      <c r="C3" s="13" t="s">
        <v>600</v>
      </c>
      <c r="D3" s="13" t="s">
        <v>601</v>
      </c>
      <c r="E3" s="13" t="s">
        <v>602</v>
      </c>
      <c r="F3" s="13" t="s">
        <v>236</v>
      </c>
    </row>
    <row r="4" customFormat="false" ht="15" hidden="false" customHeight="true" outlineLevel="0" collapsed="false">
      <c r="A4" s="14" t="s">
        <v>603</v>
      </c>
      <c r="B4" s="15" t="n">
        <v>866.444</v>
      </c>
      <c r="C4" s="15"/>
      <c r="D4" s="14" t="s">
        <v>604</v>
      </c>
      <c r="E4" s="83" t="n">
        <f aca="false">B4/2024_Basis_Control!B6</f>
        <v>0.0739988099641546</v>
      </c>
      <c r="F4" s="14" t="s">
        <v>605</v>
      </c>
    </row>
    <row r="5" customFormat="false" ht="15" hidden="false" customHeight="true" outlineLevel="0" collapsed="false">
      <c r="A5" s="14" t="s">
        <v>78</v>
      </c>
      <c r="B5" s="15" t="n">
        <v>954</v>
      </c>
      <c r="C5" s="15"/>
      <c r="D5" s="14" t="s">
        <v>606</v>
      </c>
      <c r="E5" s="83" t="n">
        <f aca="false">B5/2024_Basis_Control!B6</f>
        <v>0.0814765463270604</v>
      </c>
      <c r="F5" s="14" t="s">
        <v>605</v>
      </c>
    </row>
    <row r="6" customFormat="false" ht="15" hidden="false" customHeight="true" outlineLevel="0" collapsed="false">
      <c r="A6" s="14" t="s">
        <v>607</v>
      </c>
      <c r="B6" s="15" t="n">
        <f aca="false">SUM(B4:B5)</f>
        <v>1820.444</v>
      </c>
      <c r="C6" s="15"/>
      <c r="D6" s="14" t="s">
        <v>608</v>
      </c>
      <c r="E6" s="83" t="n">
        <f aca="false">B6/2024_Basis_Control!B6</f>
        <v>0.155475356291215</v>
      </c>
      <c r="F6" s="14" t="s">
        <v>609</v>
      </c>
    </row>
    <row r="7" customFormat="false" ht="15" hidden="false" customHeight="true" outlineLevel="0" collapsed="false">
      <c r="A7" s="14" t="s">
        <v>610</v>
      </c>
      <c r="B7" s="15"/>
      <c r="C7" s="15" t="n">
        <f aca="false">2024_Basis_Control!B6*3%</f>
        <v>351.26673</v>
      </c>
      <c r="D7" s="14" t="s">
        <v>611</v>
      </c>
      <c r="E7" s="83" t="n">
        <f aca="false">C7/2024_Basis_Control!B6</f>
        <v>0.03</v>
      </c>
      <c r="F7" s="14" t="s">
        <v>612</v>
      </c>
    </row>
    <row r="8" customFormat="false" ht="15" hidden="false" customHeight="true" outlineLevel="0" collapsed="false">
      <c r="A8" s="14" t="s">
        <v>613</v>
      </c>
      <c r="B8" s="15"/>
      <c r="C8" s="15" t="n">
        <f aca="false">2024_Basis_Control!B6*5%</f>
        <v>585.44455</v>
      </c>
      <c r="D8" s="14" t="s">
        <v>614</v>
      </c>
      <c r="E8" s="83" t="n">
        <f aca="false">C8/2024_Basis_Control!B6</f>
        <v>0.05</v>
      </c>
      <c r="F8" s="14" t="s">
        <v>615</v>
      </c>
    </row>
    <row r="9" customFormat="false" ht="15" hidden="false" customHeight="true" outlineLevel="0" collapsed="false">
      <c r="A9" s="14" t="s">
        <v>616</v>
      </c>
      <c r="B9" s="15"/>
      <c r="C9" s="15" t="n">
        <f aca="false">2024_Basis_Control!B6*5%</f>
        <v>585.44455</v>
      </c>
      <c r="D9" s="14" t="s">
        <v>614</v>
      </c>
      <c r="E9" s="83" t="n">
        <f aca="false">C9/2024_Basis_Control!B6</f>
        <v>0.05</v>
      </c>
      <c r="F9" s="14" t="s">
        <v>617</v>
      </c>
    </row>
    <row r="10" customFormat="false" ht="15" hidden="false" customHeight="true" outlineLevel="0" collapsed="false">
      <c r="A10" s="14" t="s">
        <v>618</v>
      </c>
      <c r="B10" s="15"/>
      <c r="C10" s="15" t="n">
        <f aca="false">SUM(C7:C9)</f>
        <v>1522.15583</v>
      </c>
      <c r="D10" s="14" t="s">
        <v>619</v>
      </c>
      <c r="E10" s="83" t="n">
        <f aca="false">C10/2024_Basis_Control!B6</f>
        <v>0.13</v>
      </c>
      <c r="F10" s="14" t="s">
        <v>620</v>
      </c>
    </row>
    <row r="11" customFormat="false" ht="15" hidden="false" customHeight="true" outlineLevel="0" collapsed="false">
      <c r="A11" s="84" t="s">
        <v>621</v>
      </c>
      <c r="B11" s="85"/>
      <c r="C11" s="85" t="n">
        <f aca="false">B6-C10</f>
        <v>298.28817</v>
      </c>
      <c r="D11" s="84" t="s">
        <v>622</v>
      </c>
      <c r="E11" s="86" t="n">
        <f aca="false">C11/2024_Basis_Control!B6</f>
        <v>0.0254753562912149</v>
      </c>
      <c r="F11" s="84" t="s">
        <v>623</v>
      </c>
    </row>
    <row r="12" customFormat="false" ht="15" hidden="false" customHeight="true" outlineLevel="0" collapsed="false">
      <c r="A12" s="87" t="s">
        <v>624</v>
      </c>
      <c r="B12" s="88"/>
      <c r="C12" s="88" t="n">
        <v>10</v>
      </c>
      <c r="D12" s="87" t="s">
        <v>625</v>
      </c>
      <c r="E12" s="87"/>
      <c r="F12" s="87" t="s">
        <v>626</v>
      </c>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1"/>
    <col collapsed="false" customWidth="true" hidden="false" outlineLevel="0" max="2" min="2" style="1" width="17"/>
    <col collapsed="false" customWidth="true" hidden="false" outlineLevel="0" max="3" min="3" style="1" width="15"/>
    <col collapsed="false" customWidth="true" hidden="false" outlineLevel="0" max="4" min="4" style="1" width="28"/>
    <col collapsed="false" customWidth="true" hidden="false" outlineLevel="0" max="5" min="5" style="1" width="36"/>
    <col collapsed="false" customWidth="true" hidden="false" outlineLevel="0" max="6" min="6" style="1" width="28"/>
    <col collapsed="false" customWidth="true" hidden="false" outlineLevel="0" max="7" min="7" style="1" width="15"/>
    <col collapsed="false" customWidth="true" hidden="false" outlineLevel="0" max="8" min="8" style="1" width="35"/>
  </cols>
  <sheetData>
    <row r="1" customFormat="false" ht="18" hidden="false" customHeight="true" outlineLevel="0" collapsed="false">
      <c r="A1" s="89" t="s">
        <v>627</v>
      </c>
      <c r="B1" s="89"/>
      <c r="C1" s="89"/>
      <c r="D1" s="89"/>
      <c r="E1" s="89"/>
      <c r="F1" s="89"/>
      <c r="G1" s="89"/>
      <c r="H1" s="89"/>
    </row>
    <row r="2" customFormat="false" ht="15" hidden="false" customHeight="true" outlineLevel="0" collapsed="false">
      <c r="A2" s="4"/>
      <c r="B2" s="4"/>
      <c r="C2" s="4"/>
      <c r="D2" s="4"/>
      <c r="E2" s="4"/>
      <c r="F2" s="4"/>
      <c r="G2" s="4"/>
      <c r="H2" s="4"/>
    </row>
    <row r="3" customFormat="false" ht="27.75" hidden="false" customHeight="true" outlineLevel="0" collapsed="false">
      <c r="A3" s="90" t="s">
        <v>628</v>
      </c>
      <c r="B3" s="90" t="s">
        <v>629</v>
      </c>
      <c r="C3" s="90" t="s">
        <v>630</v>
      </c>
      <c r="D3" s="90" t="s">
        <v>631</v>
      </c>
      <c r="E3" s="90" t="s">
        <v>632</v>
      </c>
      <c r="F3" s="90" t="s">
        <v>633</v>
      </c>
      <c r="G3" s="90" t="s">
        <v>40</v>
      </c>
      <c r="H3" s="90" t="s">
        <v>634</v>
      </c>
    </row>
    <row r="4" customFormat="false" ht="27.75" hidden="false" customHeight="true" outlineLevel="0" collapsed="false">
      <c r="A4" s="14" t="s">
        <v>635</v>
      </c>
      <c r="B4" s="91" t="n">
        <v>797</v>
      </c>
      <c r="C4" s="15" t="s">
        <v>636</v>
      </c>
      <c r="D4" s="14" t="s">
        <v>637</v>
      </c>
      <c r="E4" s="92"/>
      <c r="F4" s="14"/>
      <c r="G4" s="14" t="s">
        <v>88</v>
      </c>
      <c r="H4" s="14" t="s">
        <v>638</v>
      </c>
    </row>
    <row r="5" customFormat="false" ht="15" hidden="false" customHeight="true" outlineLevel="0" collapsed="false">
      <c r="A5" s="14" t="s">
        <v>639</v>
      </c>
      <c r="B5" s="91" t="n">
        <v>4170</v>
      </c>
      <c r="C5" s="15" t="s">
        <v>640</v>
      </c>
      <c r="D5" s="14" t="s">
        <v>641</v>
      </c>
      <c r="E5" s="92" t="n">
        <v>0.01</v>
      </c>
      <c r="F5" s="14"/>
      <c r="G5" s="14" t="s">
        <v>642</v>
      </c>
      <c r="H5" s="14" t="s">
        <v>643</v>
      </c>
    </row>
    <row r="6" customFormat="false" ht="15" hidden="false" customHeight="true" outlineLevel="0" collapsed="false">
      <c r="A6" s="87" t="s">
        <v>644</v>
      </c>
      <c r="B6" s="93" t="n">
        <v>5570</v>
      </c>
      <c r="C6" s="88" t="s">
        <v>640</v>
      </c>
      <c r="D6" s="87" t="s">
        <v>645</v>
      </c>
      <c r="E6" s="94" t="n">
        <v>0.01</v>
      </c>
      <c r="F6" s="87"/>
      <c r="G6" s="14" t="s">
        <v>642</v>
      </c>
      <c r="H6" s="14" t="s">
        <v>646</v>
      </c>
    </row>
    <row r="7" customFormat="false" ht="15" hidden="false" customHeight="true" outlineLevel="0" collapsed="false">
      <c r="A7" s="87" t="s">
        <v>647</v>
      </c>
      <c r="B7" s="93" t="n">
        <v>1830</v>
      </c>
      <c r="C7" s="95" t="s">
        <v>640</v>
      </c>
      <c r="D7" s="87" t="s">
        <v>648</v>
      </c>
      <c r="E7" s="94" t="n">
        <v>0.005</v>
      </c>
      <c r="F7" s="87"/>
      <c r="G7" s="14" t="s">
        <v>642</v>
      </c>
      <c r="H7" s="14" t="s">
        <v>646</v>
      </c>
    </row>
    <row r="8" customFormat="false" ht="27.75" hidden="false" customHeight="true" outlineLevel="0" collapsed="false">
      <c r="A8" s="14" t="s">
        <v>649</v>
      </c>
      <c r="B8" s="91" t="n">
        <v>52987.317</v>
      </c>
      <c r="C8" s="96" t="s">
        <v>636</v>
      </c>
      <c r="D8" s="14" t="s">
        <v>650</v>
      </c>
      <c r="E8" s="92"/>
      <c r="F8" s="14"/>
      <c r="G8" s="14" t="s">
        <v>651</v>
      </c>
      <c r="H8" s="14" t="s">
        <v>652</v>
      </c>
    </row>
    <row r="9" customFormat="false" ht="15" hidden="false" customHeight="true" outlineLevel="0" collapsed="false">
      <c r="A9" s="14" t="s">
        <v>653</v>
      </c>
      <c r="B9" s="91" t="n">
        <v>15694.221</v>
      </c>
      <c r="C9" s="96" t="s">
        <v>636</v>
      </c>
      <c r="D9" s="14" t="s">
        <v>654</v>
      </c>
      <c r="E9" s="92"/>
      <c r="F9" s="14"/>
      <c r="G9" s="14" t="s">
        <v>655</v>
      </c>
      <c r="H9" s="14" t="s">
        <v>656</v>
      </c>
    </row>
    <row r="10" customFormat="false" ht="15" hidden="false" customHeight="true" outlineLevel="0" collapsed="false">
      <c r="A10" s="14" t="s">
        <v>657</v>
      </c>
      <c r="B10" s="91" t="n">
        <v>17463.06</v>
      </c>
      <c r="C10" s="96" t="s">
        <v>636</v>
      </c>
      <c r="D10" s="14" t="s">
        <v>658</v>
      </c>
      <c r="E10" s="92"/>
      <c r="F10" s="14"/>
      <c r="G10" s="14" t="s">
        <v>659</v>
      </c>
      <c r="H10" s="14" t="s">
        <v>660</v>
      </c>
    </row>
    <row r="11" customFormat="false" ht="27.75" hidden="false" customHeight="true" outlineLevel="0" collapsed="false">
      <c r="A11" s="14" t="s">
        <v>661</v>
      </c>
      <c r="B11" s="91" t="s">
        <v>662</v>
      </c>
      <c r="C11" s="96" t="s">
        <v>663</v>
      </c>
      <c r="D11" s="14" t="s">
        <v>664</v>
      </c>
      <c r="E11" s="92"/>
      <c r="F11" s="14"/>
      <c r="G11" s="14" t="s">
        <v>665</v>
      </c>
      <c r="H11" s="14" t="s">
        <v>666</v>
      </c>
    </row>
    <row r="12" customFormat="false" ht="27.75" hidden="false" customHeight="true" outlineLevel="0" collapsed="false">
      <c r="A12" s="14" t="s">
        <v>667</v>
      </c>
      <c r="B12" s="91" t="s">
        <v>662</v>
      </c>
      <c r="C12" s="96" t="s">
        <v>663</v>
      </c>
      <c r="D12" s="14" t="s">
        <v>668</v>
      </c>
      <c r="E12" s="92"/>
      <c r="F12" s="14"/>
      <c r="G12" s="14" t="s">
        <v>669</v>
      </c>
      <c r="H12" s="14" t="s">
        <v>670</v>
      </c>
    </row>
    <row r="13" customFormat="false" ht="27.75" hidden="false" customHeight="true" outlineLevel="0" collapsed="false">
      <c r="A13" s="14" t="s">
        <v>671</v>
      </c>
      <c r="B13" s="91" t="s">
        <v>672</v>
      </c>
      <c r="C13" s="96" t="s">
        <v>663</v>
      </c>
      <c r="D13" s="14" t="s">
        <v>673</v>
      </c>
      <c r="E13" s="92"/>
      <c r="F13" s="14"/>
      <c r="G13" s="14" t="s">
        <v>674</v>
      </c>
      <c r="H13" s="14" t="s">
        <v>675</v>
      </c>
    </row>
    <row r="14" customFormat="false" ht="15" hidden="false" customHeight="true" outlineLevel="0" collapsed="false">
      <c r="A14" s="14"/>
      <c r="B14" s="91"/>
      <c r="C14" s="96"/>
      <c r="D14" s="14"/>
      <c r="E14" s="14"/>
      <c r="F14" s="14"/>
      <c r="G14" s="4"/>
      <c r="H14" s="4"/>
    </row>
    <row r="15" customFormat="false" ht="27.75" hidden="false" customHeight="true" outlineLevel="0" collapsed="false">
      <c r="A15" s="90" t="s">
        <v>676</v>
      </c>
      <c r="B15" s="97" t="s">
        <v>234</v>
      </c>
      <c r="C15" s="98" t="s">
        <v>677</v>
      </c>
      <c r="D15" s="90"/>
      <c r="E15" s="90"/>
      <c r="F15" s="90"/>
      <c r="G15" s="90"/>
      <c r="H15" s="90"/>
    </row>
    <row r="16" customFormat="false" ht="15" hidden="false" customHeight="true" outlineLevel="0" collapsed="false">
      <c r="A16" s="14" t="s">
        <v>678</v>
      </c>
      <c r="B16" s="91" t="n">
        <v>797</v>
      </c>
      <c r="C16" s="96" t="s">
        <v>679</v>
      </c>
      <c r="D16" s="4"/>
      <c r="E16" s="4"/>
      <c r="F16" s="4"/>
      <c r="G16" s="4"/>
      <c r="H16" s="4"/>
    </row>
    <row r="17" customFormat="false" ht="15" hidden="false" customHeight="true" outlineLevel="0" collapsed="false">
      <c r="A17" s="14" t="s">
        <v>81</v>
      </c>
      <c r="B17" s="91" t="n">
        <v>2232.929</v>
      </c>
      <c r="C17" s="96" t="s">
        <v>680</v>
      </c>
      <c r="D17" s="4"/>
      <c r="E17" s="4"/>
      <c r="F17" s="4"/>
      <c r="G17" s="4"/>
      <c r="H17" s="4"/>
    </row>
    <row r="18" customFormat="false" ht="15" hidden="false" customHeight="true" outlineLevel="0" collapsed="false">
      <c r="A18" s="14" t="s">
        <v>681</v>
      </c>
      <c r="B18" s="91" t="n">
        <f aca="false">B17-B16</f>
        <v>1435.929</v>
      </c>
      <c r="C18" s="14" t="s">
        <v>682</v>
      </c>
      <c r="D18" s="4"/>
      <c r="E18" s="4"/>
      <c r="F18" s="4"/>
      <c r="G18" s="4"/>
      <c r="H18" s="4"/>
    </row>
    <row r="19" customFormat="false" ht="15" hidden="false" customHeight="true" outlineLevel="0" collapsed="false">
      <c r="A19" s="14" t="s">
        <v>683</v>
      </c>
      <c r="B19" s="91" t="n">
        <f aca="false">B17/B16</f>
        <v>2.80166750313676</v>
      </c>
      <c r="C19" s="14" t="s">
        <v>684</v>
      </c>
      <c r="D19" s="4"/>
      <c r="E19" s="4"/>
      <c r="F19" s="4"/>
      <c r="G19" s="4"/>
      <c r="H19" s="4"/>
    </row>
    <row r="20" customFormat="false" ht="15" hidden="false" customHeight="true" outlineLevel="0" collapsed="false">
      <c r="A20" s="4"/>
      <c r="B20" s="4"/>
      <c r="C20" s="4"/>
      <c r="D20" s="4"/>
      <c r="E20" s="4"/>
      <c r="F20" s="4"/>
      <c r="G20" s="4"/>
      <c r="H20" s="4"/>
    </row>
    <row r="21" customFormat="false" ht="27.75" hidden="false" customHeight="true" outlineLevel="0" collapsed="false">
      <c r="A21" s="99" t="s">
        <v>685</v>
      </c>
      <c r="B21" s="99"/>
      <c r="C21" s="99"/>
      <c r="D21" s="99"/>
      <c r="E21" s="99"/>
      <c r="F21" s="99"/>
      <c r="G21" s="99"/>
      <c r="H21" s="99"/>
    </row>
    <row r="22" customFormat="false" ht="15" hidden="false" customHeight="true" outlineLevel="0" collapsed="false">
      <c r="A22" s="100" t="s">
        <v>686</v>
      </c>
      <c r="B22" s="100"/>
      <c r="C22" s="100"/>
      <c r="D22" s="100"/>
      <c r="E22" s="100"/>
      <c r="F22" s="100"/>
      <c r="G22" s="100"/>
      <c r="H22" s="100"/>
    </row>
    <row r="23" customFormat="false" ht="15" hidden="false" customHeight="true" outlineLevel="0" collapsed="false">
      <c r="A23" s="37" t="s">
        <v>687</v>
      </c>
      <c r="B23" s="37" t="s">
        <v>688</v>
      </c>
      <c r="C23" s="37" t="s">
        <v>689</v>
      </c>
      <c r="D23" s="37" t="s">
        <v>399</v>
      </c>
      <c r="E23" s="37" t="s">
        <v>690</v>
      </c>
      <c r="F23" s="37" t="s">
        <v>40</v>
      </c>
      <c r="G23" s="37" t="s">
        <v>691</v>
      </c>
      <c r="H23" s="37" t="s">
        <v>692</v>
      </c>
    </row>
    <row r="24" customFormat="false" ht="23.25" hidden="false" customHeight="true" outlineLevel="0" collapsed="false">
      <c r="A24" s="4" t="s">
        <v>693</v>
      </c>
      <c r="B24" s="72" t="n">
        <f aca="false">SUM(B8:B10)</f>
        <v>86144.598</v>
      </c>
      <c r="C24" s="4" t="s">
        <v>636</v>
      </c>
      <c r="D24" s="4" t="s">
        <v>694</v>
      </c>
      <c r="E24" s="4" t="s">
        <v>695</v>
      </c>
      <c r="F24" s="4" t="s">
        <v>696</v>
      </c>
      <c r="G24" s="4" t="s">
        <v>697</v>
      </c>
      <c r="H24" s="4" t="s">
        <v>698</v>
      </c>
    </row>
    <row r="25" customFormat="false" ht="15" hidden="false" customHeight="true" outlineLevel="0" collapsed="false">
      <c r="A25" s="4" t="s">
        <v>81</v>
      </c>
      <c r="B25" s="72" t="n">
        <f aca="false">B17</f>
        <v>2232.929</v>
      </c>
      <c r="C25" s="4" t="s">
        <v>636</v>
      </c>
      <c r="D25" s="4" t="s">
        <v>699</v>
      </c>
      <c r="E25" s="4" t="s">
        <v>700</v>
      </c>
      <c r="F25" s="4" t="s">
        <v>701</v>
      </c>
      <c r="G25" s="4" t="s">
        <v>702</v>
      </c>
      <c r="H25" s="4" t="s">
        <v>703</v>
      </c>
    </row>
    <row r="26" customFormat="false" ht="34.5" hidden="false" customHeight="true" outlineLevel="0" collapsed="false">
      <c r="A26" s="4" t="s">
        <v>704</v>
      </c>
      <c r="B26" s="49" t="n">
        <f aca="false">B25/B24</f>
        <v>0.0259207083420367</v>
      </c>
      <c r="C26" s="4" t="s">
        <v>705</v>
      </c>
      <c r="D26" s="4" t="s">
        <v>706</v>
      </c>
      <c r="E26" s="4" t="s">
        <v>707</v>
      </c>
      <c r="F26" s="4" t="s">
        <v>708</v>
      </c>
      <c r="G26" s="4" t="s">
        <v>708</v>
      </c>
      <c r="H26" s="4" t="s">
        <v>709</v>
      </c>
    </row>
    <row r="27" customFormat="false" ht="23.25" hidden="false" customHeight="true" outlineLevel="0" collapsed="false">
      <c r="A27" s="4" t="s">
        <v>710</v>
      </c>
      <c r="B27" s="49" t="n">
        <f aca="false">B24*40%*50%</f>
        <v>17228.9196</v>
      </c>
      <c r="C27" s="4" t="s">
        <v>636</v>
      </c>
      <c r="D27" s="4" t="s">
        <v>711</v>
      </c>
      <c r="E27" s="4" t="s">
        <v>712</v>
      </c>
      <c r="F27" s="4" t="s">
        <v>713</v>
      </c>
      <c r="G27" s="4" t="s">
        <v>714</v>
      </c>
      <c r="H27" s="4" t="s">
        <v>715</v>
      </c>
    </row>
    <row r="28" customFormat="false" ht="23.25" hidden="false" customHeight="true" outlineLevel="0" collapsed="false">
      <c r="A28" s="4" t="s">
        <v>716</v>
      </c>
      <c r="B28" s="49" t="n">
        <f aca="false">B25/B27</f>
        <v>0.129603541710184</v>
      </c>
      <c r="C28" s="4" t="s">
        <v>705</v>
      </c>
      <c r="D28" s="4" t="s">
        <v>717</v>
      </c>
      <c r="E28" s="4" t="s">
        <v>718</v>
      </c>
      <c r="F28" s="4" t="s">
        <v>708</v>
      </c>
      <c r="G28" s="4" t="s">
        <v>708</v>
      </c>
      <c r="H28" s="4" t="s">
        <v>719</v>
      </c>
    </row>
    <row r="29" customFormat="false" ht="15" hidden="false" customHeight="true" outlineLevel="0" collapsed="false">
      <c r="A29" s="4"/>
      <c r="B29" s="4"/>
      <c r="C29" s="4"/>
      <c r="D29" s="4"/>
      <c r="E29" s="4"/>
      <c r="F29" s="4"/>
      <c r="G29" s="4"/>
      <c r="H29" s="4"/>
    </row>
    <row r="30" customFormat="false" ht="23.25" hidden="false" customHeight="true" outlineLevel="0" collapsed="false">
      <c r="A30" s="37" t="s">
        <v>720</v>
      </c>
      <c r="B30" s="37" t="s">
        <v>721</v>
      </c>
      <c r="C30" s="37" t="s">
        <v>722</v>
      </c>
      <c r="D30" s="37" t="s">
        <v>723</v>
      </c>
      <c r="E30" s="37" t="s">
        <v>690</v>
      </c>
      <c r="F30" s="4"/>
      <c r="G30" s="4"/>
      <c r="H30" s="4"/>
    </row>
    <row r="31" customFormat="false" ht="15" hidden="false" customHeight="true" outlineLevel="0" collapsed="false">
      <c r="A31" s="49" t="n">
        <v>0.3</v>
      </c>
      <c r="B31" s="49" t="n">
        <v>0.35</v>
      </c>
      <c r="C31" s="72" t="n">
        <f aca="false">$B$24*A31*B31</f>
        <v>9045.18279</v>
      </c>
      <c r="D31" s="49" t="n">
        <f aca="false">$B$25/C31</f>
        <v>0.246863888971778</v>
      </c>
      <c r="E31" s="4" t="s">
        <v>724</v>
      </c>
      <c r="F31" s="4"/>
      <c r="G31" s="4"/>
      <c r="H31" s="4"/>
    </row>
    <row r="32" customFormat="false" ht="15" hidden="false" customHeight="true" outlineLevel="0" collapsed="false">
      <c r="A32" s="49" t="n">
        <v>0.3</v>
      </c>
      <c r="B32" s="49" t="n">
        <v>0.5</v>
      </c>
      <c r="C32" s="72" t="n">
        <f aca="false">$B$24*A32*B32</f>
        <v>12921.6897</v>
      </c>
      <c r="D32" s="49" t="n">
        <f aca="false">$B$25/C32</f>
        <v>0.172804722280245</v>
      </c>
      <c r="E32" s="4" t="s">
        <v>724</v>
      </c>
      <c r="F32" s="4"/>
      <c r="G32" s="4"/>
      <c r="H32" s="4"/>
    </row>
    <row r="33" customFormat="false" ht="15" hidden="false" customHeight="true" outlineLevel="0" collapsed="false">
      <c r="A33" s="49" t="n">
        <v>0.3</v>
      </c>
      <c r="B33" s="49" t="n">
        <v>0.65</v>
      </c>
      <c r="C33" s="72" t="n">
        <f aca="false">$B$24*A33*B33</f>
        <v>16798.19661</v>
      </c>
      <c r="D33" s="49" t="n">
        <f aca="false">$B$25/C33</f>
        <v>0.132926709446342</v>
      </c>
      <c r="E33" s="4" t="s">
        <v>724</v>
      </c>
      <c r="F33" s="4"/>
      <c r="G33" s="4"/>
      <c r="H33" s="4"/>
    </row>
    <row r="34" customFormat="false" ht="15" hidden="false" customHeight="true" outlineLevel="0" collapsed="false">
      <c r="A34" s="49" t="n">
        <v>0.4</v>
      </c>
      <c r="B34" s="49" t="n">
        <v>0.35</v>
      </c>
      <c r="C34" s="72" t="n">
        <f aca="false">$B$24*A34*B34</f>
        <v>12060.24372</v>
      </c>
      <c r="D34" s="49" t="n">
        <f aca="false">$B$25/C34</f>
        <v>0.185147916728834</v>
      </c>
      <c r="E34" s="4" t="s">
        <v>724</v>
      </c>
      <c r="F34" s="4"/>
      <c r="G34" s="4"/>
      <c r="H34" s="4"/>
    </row>
    <row r="35" customFormat="false" ht="15" hidden="false" customHeight="true" outlineLevel="0" collapsed="false">
      <c r="A35" s="49" t="n">
        <v>0.4</v>
      </c>
      <c r="B35" s="49" t="n">
        <v>0.5</v>
      </c>
      <c r="C35" s="72" t="n">
        <f aca="false">$B$24*A35*B35</f>
        <v>17228.9196</v>
      </c>
      <c r="D35" s="49" t="n">
        <f aca="false">$B$25/C35</f>
        <v>0.129603541710184</v>
      </c>
      <c r="E35" s="4" t="s">
        <v>724</v>
      </c>
      <c r="F35" s="4"/>
      <c r="G35" s="4"/>
      <c r="H35" s="4"/>
    </row>
    <row r="36" customFormat="false" ht="15" hidden="false" customHeight="true" outlineLevel="0" collapsed="false">
      <c r="A36" s="49" t="n">
        <v>0.4</v>
      </c>
      <c r="B36" s="49" t="n">
        <v>0.65</v>
      </c>
      <c r="C36" s="72" t="n">
        <f aca="false">$B$24*A36*B36</f>
        <v>22397.59548</v>
      </c>
      <c r="D36" s="49" t="n">
        <f aca="false">$B$25/C36</f>
        <v>0.0996950320847566</v>
      </c>
      <c r="E36" s="4" t="s">
        <v>724</v>
      </c>
      <c r="F36" s="4"/>
      <c r="G36" s="4"/>
      <c r="H36" s="4"/>
    </row>
    <row r="37" customFormat="false" ht="15" hidden="false" customHeight="true" outlineLevel="0" collapsed="false">
      <c r="A37" s="49" t="n">
        <v>0.5</v>
      </c>
      <c r="B37" s="49" t="n">
        <v>0.35</v>
      </c>
      <c r="C37" s="72" t="n">
        <f aca="false">$B$24*A37*B37</f>
        <v>15075.30465</v>
      </c>
      <c r="D37" s="49" t="n">
        <f aca="false">$B$25/C37</f>
        <v>0.148118333383067</v>
      </c>
      <c r="E37" s="4" t="s">
        <v>724</v>
      </c>
      <c r="F37" s="4"/>
      <c r="G37" s="4"/>
      <c r="H37" s="4"/>
    </row>
    <row r="38" customFormat="false" ht="15" hidden="false" customHeight="true" outlineLevel="0" collapsed="false">
      <c r="A38" s="49" t="n">
        <v>0.5</v>
      </c>
      <c r="B38" s="49" t="n">
        <v>0.5</v>
      </c>
      <c r="C38" s="72" t="n">
        <f aca="false">$B$24*A38*B38</f>
        <v>21536.1495</v>
      </c>
      <c r="D38" s="49" t="n">
        <f aca="false">$B$25/C38</f>
        <v>0.103682833368147</v>
      </c>
      <c r="E38" s="4" t="s">
        <v>724</v>
      </c>
      <c r="F38" s="4"/>
      <c r="G38" s="4"/>
      <c r="H38" s="4"/>
    </row>
    <row r="39" customFormat="false" ht="15" hidden="false" customHeight="true" outlineLevel="0" collapsed="false">
      <c r="A39" s="49" t="n">
        <v>0.5</v>
      </c>
      <c r="B39" s="49" t="n">
        <v>0.65</v>
      </c>
      <c r="C39" s="72" t="n">
        <f aca="false">$B$24*A39*B39</f>
        <v>27996.99435</v>
      </c>
      <c r="D39" s="49" t="n">
        <f aca="false">$B$25/C39</f>
        <v>0.0797560256678053</v>
      </c>
      <c r="E39" s="4" t="s">
        <v>724</v>
      </c>
      <c r="F39" s="4"/>
      <c r="G39" s="4"/>
      <c r="H39" s="4"/>
    </row>
  </sheetData>
  <mergeCells count="3">
    <mergeCell ref="A1:H1"/>
    <mergeCell ref="A21:H21"/>
    <mergeCell ref="A22:H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8"/>
    <col collapsed="false" customWidth="true" hidden="false" outlineLevel="0" max="3" min="3" style="1" width="10"/>
    <col collapsed="false" customWidth="true" hidden="false" outlineLevel="0" max="4" min="4" style="1" width="16"/>
    <col collapsed="false" customWidth="true" hidden="false" outlineLevel="0" max="5" min="5" style="1" width="18"/>
    <col collapsed="false" customWidth="true" hidden="false" outlineLevel="0" max="6" min="6" style="1" width="58"/>
    <col collapsed="false" customWidth="true" hidden="false" outlineLevel="0" max="7" min="7" style="1" width="55"/>
  </cols>
  <sheetData>
    <row r="1" customFormat="false" ht="18" hidden="false" customHeight="true" outlineLevel="0" collapsed="false">
      <c r="A1" s="89" t="s">
        <v>725</v>
      </c>
      <c r="B1" s="89"/>
      <c r="C1" s="89"/>
      <c r="D1" s="89"/>
      <c r="E1" s="89"/>
      <c r="F1" s="89"/>
      <c r="G1" s="89"/>
    </row>
    <row r="3" customFormat="false" ht="15" hidden="false" customHeight="true" outlineLevel="0" collapsed="false">
      <c r="A3" s="90" t="s">
        <v>726</v>
      </c>
      <c r="B3" s="90" t="s">
        <v>727</v>
      </c>
      <c r="C3" s="90" t="s">
        <v>211</v>
      </c>
      <c r="D3" s="90" t="s">
        <v>212</v>
      </c>
      <c r="E3" s="90" t="s">
        <v>728</v>
      </c>
      <c r="F3" s="90" t="s">
        <v>236</v>
      </c>
      <c r="G3" s="90" t="s">
        <v>40</v>
      </c>
    </row>
    <row r="4" customFormat="false" ht="41.25" hidden="false" customHeight="true" outlineLevel="0" collapsed="false">
      <c r="A4" s="14" t="s">
        <v>729</v>
      </c>
      <c r="B4" s="91" t="n">
        <v>706.4</v>
      </c>
      <c r="C4" s="92" t="n">
        <v>0.01</v>
      </c>
      <c r="D4" s="91" t="n">
        <f aca="false">B4*C4</f>
        <v>7.064</v>
      </c>
      <c r="E4" s="14" t="s">
        <v>730</v>
      </c>
      <c r="F4" s="14" t="s">
        <v>731</v>
      </c>
      <c r="G4" s="14" t="s">
        <v>92</v>
      </c>
    </row>
    <row r="5" customFormat="false" ht="54.75" hidden="false" customHeight="true" outlineLevel="0" collapsed="false">
      <c r="A5" s="14" t="s">
        <v>732</v>
      </c>
      <c r="B5" s="91" t="n">
        <v>46.702</v>
      </c>
      <c r="C5" s="92" t="n">
        <v>0.01</v>
      </c>
      <c r="D5" s="91" t="n">
        <f aca="false">B5*C5</f>
        <v>0.46702</v>
      </c>
      <c r="E5" s="14" t="s">
        <v>733</v>
      </c>
      <c r="F5" s="14" t="s">
        <v>734</v>
      </c>
      <c r="G5" s="14" t="s">
        <v>735</v>
      </c>
    </row>
    <row r="6" customFormat="false" ht="15" hidden="false" customHeight="true" outlineLevel="0" collapsed="false">
      <c r="A6" s="101" t="s">
        <v>736</v>
      </c>
      <c r="B6" s="102" t="n">
        <f aca="false">SUM(B4:B5)</f>
        <v>753.102</v>
      </c>
      <c r="C6" s="102"/>
      <c r="D6" s="102" t="n">
        <f aca="false">SUM(D4:D5)</f>
        <v>7.53102</v>
      </c>
      <c r="E6" s="101"/>
      <c r="F6" s="101"/>
      <c r="G6" s="101"/>
    </row>
    <row r="7" customFormat="false" ht="15" hidden="false" customHeight="true" outlineLevel="0" collapsed="false">
      <c r="A7" s="87"/>
      <c r="B7" s="88"/>
      <c r="C7" s="87"/>
      <c r="D7" s="88"/>
      <c r="E7" s="87"/>
      <c r="F7" s="87"/>
      <c r="G7" s="87"/>
    </row>
    <row r="8" customFormat="false" ht="15" hidden="false" customHeight="true" outlineLevel="0" collapsed="false">
      <c r="A8" s="103" t="s">
        <v>737</v>
      </c>
      <c r="B8" s="103"/>
      <c r="C8" s="103"/>
      <c r="D8" s="103"/>
      <c r="E8" s="103"/>
      <c r="F8" s="103"/>
      <c r="G8" s="103"/>
    </row>
  </sheetData>
  <mergeCells count="2">
    <mergeCell ref="A1:G1"/>
    <mergeCell ref="A8:G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2"/>
    <col collapsed="false" customWidth="true" hidden="false" outlineLevel="0" max="2" min="2" style="17" width="18"/>
    <col collapsed="false" customWidth="true" hidden="false" outlineLevel="0" max="3" min="3" style="17" width="65"/>
  </cols>
  <sheetData>
    <row r="1" customFormat="false" ht="36" hidden="false" customHeight="true" outlineLevel="0" collapsed="false">
      <c r="A1" s="104" t="s">
        <v>738</v>
      </c>
      <c r="B1" s="104"/>
      <c r="C1" s="104"/>
      <c r="D1" s="4"/>
      <c r="E1" s="4"/>
      <c r="F1" s="4"/>
      <c r="G1" s="4"/>
      <c r="H1" s="4"/>
      <c r="I1" s="4"/>
      <c r="J1" s="4"/>
      <c r="K1" s="4"/>
    </row>
    <row r="2" customFormat="false" ht="30" hidden="false" customHeight="true" outlineLevel="0" collapsed="false">
      <c r="A2" s="36" t="s">
        <v>739</v>
      </c>
      <c r="B2" s="36"/>
      <c r="C2" s="36"/>
      <c r="D2" s="4"/>
      <c r="E2" s="4"/>
      <c r="F2" s="4"/>
      <c r="G2" s="4"/>
      <c r="H2" s="4"/>
      <c r="I2" s="4"/>
      <c r="J2" s="4"/>
      <c r="K2" s="4"/>
    </row>
    <row r="3" customFormat="false" ht="15" hidden="false" customHeight="true" outlineLevel="0" collapsed="false">
      <c r="A3" s="105" t="s">
        <v>740</v>
      </c>
      <c r="B3" s="105"/>
      <c r="C3" s="105"/>
      <c r="D3" s="4"/>
      <c r="E3" s="4"/>
      <c r="F3" s="4"/>
      <c r="G3" s="4"/>
      <c r="H3" s="4"/>
      <c r="I3" s="4"/>
      <c r="J3" s="4"/>
      <c r="K3" s="4"/>
    </row>
    <row r="4" customFormat="false" ht="15" hidden="false" customHeight="true" outlineLevel="0" collapsed="false">
      <c r="A4" s="106" t="s">
        <v>348</v>
      </c>
      <c r="B4" s="106" t="s">
        <v>234</v>
      </c>
      <c r="C4" s="106" t="s">
        <v>236</v>
      </c>
      <c r="D4" s="4"/>
      <c r="E4" s="4"/>
      <c r="F4" s="4"/>
      <c r="G4" s="4"/>
      <c r="H4" s="4"/>
      <c r="I4" s="4"/>
      <c r="J4" s="4"/>
      <c r="K4" s="4"/>
    </row>
    <row r="5" customFormat="false" ht="15" hidden="false" customHeight="true" outlineLevel="0" collapsed="false">
      <c r="A5" s="4" t="s">
        <v>741</v>
      </c>
      <c r="B5" s="107" t="n">
        <f aca="false">2024_Basis_Control!B8</f>
        <v>4919</v>
      </c>
      <c r="C5" s="4" t="s">
        <v>742</v>
      </c>
      <c r="D5" s="4"/>
      <c r="E5" s="4"/>
      <c r="F5" s="4"/>
      <c r="G5" s="4"/>
      <c r="H5" s="4"/>
      <c r="I5" s="4"/>
      <c r="J5" s="4"/>
      <c r="K5" s="4"/>
    </row>
    <row r="6" customFormat="false" ht="15" hidden="false" customHeight="true" outlineLevel="0" collapsed="false">
      <c r="A6" s="4" t="s">
        <v>61</v>
      </c>
      <c r="B6" s="107" t="n">
        <f aca="false">2024_Basis_Control!B9</f>
        <v>6752</v>
      </c>
      <c r="C6" s="4" t="s">
        <v>742</v>
      </c>
      <c r="D6" s="4"/>
      <c r="E6" s="4"/>
      <c r="F6" s="4"/>
      <c r="G6" s="4"/>
      <c r="H6" s="4"/>
      <c r="I6" s="4"/>
      <c r="J6" s="4"/>
      <c r="K6" s="4"/>
    </row>
    <row r="7" customFormat="false" ht="15" hidden="false" customHeight="true" outlineLevel="0" collapsed="false">
      <c r="A7" s="4" t="s">
        <v>743</v>
      </c>
      <c r="B7" s="107" t="n">
        <f aca="false">B5-B6</f>
        <v>-1833</v>
      </c>
      <c r="C7" s="4" t="s">
        <v>744</v>
      </c>
      <c r="D7" s="4"/>
      <c r="E7" s="4"/>
      <c r="F7" s="4"/>
      <c r="G7" s="4"/>
      <c r="H7" s="4"/>
      <c r="I7" s="4"/>
      <c r="J7" s="4"/>
      <c r="K7" s="4"/>
    </row>
    <row r="8" customFormat="false" ht="15" hidden="false" customHeight="true" outlineLevel="0" collapsed="false">
      <c r="A8" s="4" t="s">
        <v>413</v>
      </c>
      <c r="B8" s="107" t="n">
        <f aca="false">2024_Basis_Control!B10</f>
        <v>1418</v>
      </c>
      <c r="C8" s="4" t="s">
        <v>745</v>
      </c>
      <c r="D8" s="4"/>
      <c r="E8" s="4"/>
      <c r="F8" s="4"/>
      <c r="G8" s="4"/>
      <c r="H8" s="4"/>
      <c r="I8" s="4"/>
      <c r="J8" s="4"/>
      <c r="K8" s="4"/>
    </row>
    <row r="9" customFormat="false" ht="15" hidden="false" customHeight="true" outlineLevel="0" collapsed="false">
      <c r="A9" s="4" t="s">
        <v>746</v>
      </c>
      <c r="B9" s="107" t="n">
        <f aca="false">2024_Basis_Control!B11</f>
        <v>1485</v>
      </c>
      <c r="C9" s="4" t="s">
        <v>747</v>
      </c>
      <c r="D9" s="4"/>
      <c r="E9" s="4"/>
      <c r="F9" s="4"/>
      <c r="G9" s="4"/>
      <c r="H9" s="4"/>
      <c r="I9" s="4"/>
      <c r="J9" s="4"/>
      <c r="K9" s="4"/>
    </row>
    <row r="10" customFormat="false" ht="15" hidden="false" customHeight="true" outlineLevel="0" collapsed="false">
      <c r="A10" s="4" t="s">
        <v>748</v>
      </c>
      <c r="B10" s="108" t="n">
        <f aca="false">B8-B9</f>
        <v>-67</v>
      </c>
      <c r="C10" s="4" t="s">
        <v>749</v>
      </c>
      <c r="D10" s="4"/>
      <c r="E10" s="4"/>
      <c r="F10" s="4"/>
      <c r="G10" s="4"/>
      <c r="H10" s="4"/>
      <c r="I10" s="4"/>
      <c r="J10" s="4"/>
      <c r="K10" s="4"/>
    </row>
    <row r="11" customFormat="false" ht="15" hidden="false" customHeight="true" outlineLevel="0" collapsed="false">
      <c r="A11" s="4" t="s">
        <v>750</v>
      </c>
      <c r="B11" s="107" t="n">
        <f aca="false">2024_Basis_Control!B12</f>
        <v>5300</v>
      </c>
      <c r="C11" s="4" t="s">
        <v>751</v>
      </c>
      <c r="D11" s="4"/>
      <c r="E11" s="4"/>
      <c r="F11" s="4"/>
      <c r="G11" s="4"/>
      <c r="H11" s="4"/>
      <c r="I11" s="4"/>
      <c r="J11" s="4"/>
      <c r="K11" s="4"/>
    </row>
    <row r="12" customFormat="false" ht="15" hidden="false" customHeight="true" outlineLevel="0" collapsed="false">
      <c r="A12" s="4"/>
      <c r="B12" s="107"/>
      <c r="C12" s="4"/>
      <c r="D12" s="4"/>
      <c r="E12" s="4"/>
      <c r="F12" s="4"/>
      <c r="G12" s="4"/>
      <c r="H12" s="4"/>
      <c r="I12" s="4"/>
      <c r="J12" s="4"/>
      <c r="K12" s="4"/>
    </row>
    <row r="13" customFormat="false" ht="15" hidden="false" customHeight="true" outlineLevel="0" collapsed="false">
      <c r="A13" s="105" t="s">
        <v>752</v>
      </c>
      <c r="B13" s="105"/>
      <c r="C13" s="105"/>
      <c r="D13" s="4"/>
      <c r="E13" s="4"/>
      <c r="F13" s="4"/>
      <c r="G13" s="4"/>
      <c r="H13" s="4"/>
      <c r="I13" s="4"/>
      <c r="J13" s="4"/>
      <c r="K13" s="4"/>
    </row>
    <row r="14" customFormat="false" ht="15" hidden="false" customHeight="true" outlineLevel="0" collapsed="false">
      <c r="A14" s="106" t="s">
        <v>348</v>
      </c>
      <c r="B14" s="109" t="s">
        <v>234</v>
      </c>
      <c r="C14" s="106" t="s">
        <v>236</v>
      </c>
      <c r="D14" s="4"/>
      <c r="E14" s="4"/>
      <c r="F14" s="4"/>
      <c r="G14" s="4"/>
      <c r="H14" s="4"/>
      <c r="I14" s="4"/>
      <c r="J14" s="4"/>
      <c r="K14" s="4"/>
    </row>
    <row r="15" customFormat="false" ht="15" hidden="false" customHeight="true" outlineLevel="0" collapsed="false">
      <c r="A15" s="4" t="s">
        <v>753</v>
      </c>
      <c r="B15" s="107" t="n">
        <f aca="false">Tax_Revenue_2024!D24</f>
        <v>107.4</v>
      </c>
      <c r="C15" s="4" t="s">
        <v>754</v>
      </c>
      <c r="D15" s="4"/>
      <c r="E15" s="4"/>
      <c r="F15" s="4"/>
      <c r="G15" s="4"/>
      <c r="H15" s="4"/>
      <c r="I15" s="4"/>
      <c r="J15" s="4"/>
      <c r="K15" s="4"/>
    </row>
    <row r="16" customFormat="false" ht="15" hidden="false" customHeight="true" outlineLevel="0" collapsed="false">
      <c r="A16" s="4" t="s">
        <v>755</v>
      </c>
      <c r="B16" s="107" t="n">
        <f aca="false">Tax_Revenue_2024!D14</f>
        <v>73.9595975475</v>
      </c>
      <c r="C16" s="4" t="s">
        <v>756</v>
      </c>
      <c r="D16" s="4"/>
      <c r="E16" s="4"/>
      <c r="F16" s="4"/>
      <c r="G16" s="4"/>
      <c r="H16" s="4"/>
      <c r="I16" s="4"/>
      <c r="J16" s="4"/>
      <c r="K16" s="4"/>
    </row>
    <row r="17" customFormat="false" ht="15" hidden="false" customHeight="true" outlineLevel="0" collapsed="false">
      <c r="A17" s="4" t="s">
        <v>757</v>
      </c>
      <c r="B17" s="107" t="n">
        <f aca="false">B15+B16</f>
        <v>181.3595975475</v>
      </c>
      <c r="C17" s="4" t="s">
        <v>758</v>
      </c>
      <c r="D17" s="4"/>
      <c r="E17" s="4"/>
      <c r="F17" s="4"/>
      <c r="G17" s="4"/>
      <c r="H17" s="4"/>
      <c r="I17" s="4"/>
      <c r="J17" s="4"/>
      <c r="K17" s="4"/>
    </row>
    <row r="18" customFormat="false" ht="15" hidden="false" customHeight="true" outlineLevel="0" collapsed="false">
      <c r="A18" s="4" t="s">
        <v>759</v>
      </c>
      <c r="B18" s="107" t="n">
        <f aca="false">2024_Basis_Control!B9-2024_Basis_Control!B11-2024_Basis_Control!B13-Cost_Savings_Program!B27</f>
        <v>3460</v>
      </c>
      <c r="C18" s="4" t="s">
        <v>760</v>
      </c>
      <c r="D18" s="4"/>
      <c r="E18" s="4"/>
      <c r="F18" s="4"/>
      <c r="G18" s="4"/>
      <c r="H18" s="4"/>
      <c r="I18" s="4"/>
      <c r="J18" s="4"/>
      <c r="K18" s="4"/>
    </row>
    <row r="19" customFormat="false" ht="15" hidden="false" customHeight="true" outlineLevel="0" collapsed="false">
      <c r="A19" s="4" t="s">
        <v>761</v>
      </c>
      <c r="B19" s="107" t="n">
        <f aca="false">2024_Basis_Control!B13</f>
        <v>1643</v>
      </c>
      <c r="C19" s="4" t="s">
        <v>762</v>
      </c>
      <c r="D19" s="4"/>
      <c r="E19" s="4"/>
      <c r="F19" s="4"/>
      <c r="G19" s="4"/>
      <c r="H19" s="4"/>
      <c r="I19" s="4"/>
      <c r="J19" s="4"/>
      <c r="K19" s="4"/>
    </row>
    <row r="20" customFormat="false" ht="15" hidden="false" customHeight="true" outlineLevel="0" collapsed="false">
      <c r="A20" s="65" t="s">
        <v>531</v>
      </c>
      <c r="B20" s="110" t="n">
        <f aca="false">Healthcare_3_5_5!D8</f>
        <v>281.196565082897</v>
      </c>
      <c r="C20" s="65" t="s">
        <v>762</v>
      </c>
      <c r="D20" s="4"/>
      <c r="E20" s="4"/>
      <c r="F20" s="4"/>
      <c r="G20" s="4"/>
      <c r="H20" s="4"/>
      <c r="I20" s="4"/>
      <c r="J20" s="4"/>
      <c r="K20" s="4"/>
    </row>
    <row r="21" customFormat="false" ht="15" hidden="false" customHeight="true" outlineLevel="0" collapsed="false">
      <c r="A21" s="4" t="s">
        <v>331</v>
      </c>
      <c r="B21" s="107" t="n">
        <f aca="false">B16</f>
        <v>73.9595975475</v>
      </c>
      <c r="C21" s="4" t="s">
        <v>763</v>
      </c>
      <c r="D21" s="4"/>
      <c r="E21" s="4"/>
      <c r="F21" s="4"/>
      <c r="G21" s="4"/>
      <c r="H21" s="4"/>
      <c r="I21" s="4"/>
      <c r="J21" s="4"/>
      <c r="K21" s="4"/>
    </row>
    <row r="22" customFormat="false" ht="15" hidden="false" customHeight="true" outlineLevel="0" collapsed="false">
      <c r="A22" s="4" t="s">
        <v>764</v>
      </c>
      <c r="B22" s="107" t="n">
        <v>10</v>
      </c>
      <c r="C22" s="4" t="s">
        <v>765</v>
      </c>
      <c r="D22" s="4"/>
      <c r="E22" s="4"/>
      <c r="F22" s="4"/>
      <c r="G22" s="4"/>
      <c r="H22" s="4"/>
      <c r="I22" s="4"/>
      <c r="J22" s="4"/>
      <c r="K22" s="4"/>
    </row>
    <row r="23" customFormat="false" ht="15" hidden="false" customHeight="true" outlineLevel="0" collapsed="false">
      <c r="A23" s="111" t="s">
        <v>766</v>
      </c>
      <c r="B23" s="112" t="n">
        <f aca="false">B17-SUM(B18:B22)</f>
        <v>-5286.7965650829</v>
      </c>
      <c r="D23" s="4"/>
      <c r="E23" s="4"/>
      <c r="F23" s="4"/>
      <c r="G23" s="4"/>
      <c r="H23" s="4"/>
      <c r="I23" s="4"/>
      <c r="J23" s="4"/>
      <c r="K23" s="4"/>
    </row>
    <row r="24" customFormat="false" ht="15" hidden="false" customHeight="true" outlineLevel="0" collapsed="false">
      <c r="A24" s="64" t="s">
        <v>767</v>
      </c>
      <c r="B24" s="113" t="n">
        <f aca="false">MAX(0,-SS_Hybrid_2024!D13)</f>
        <v>161.42221477</v>
      </c>
      <c r="C24" s="64" t="s">
        <v>768</v>
      </c>
      <c r="D24" s="4"/>
      <c r="E24" s="4"/>
      <c r="F24" s="4"/>
      <c r="G24" s="4"/>
      <c r="H24" s="4"/>
      <c r="I24" s="4"/>
      <c r="J24" s="4"/>
      <c r="K24" s="4"/>
    </row>
    <row r="25" customFormat="false" ht="15" hidden="false" customHeight="true" outlineLevel="0" collapsed="false">
      <c r="A25" s="4"/>
      <c r="B25" s="108"/>
      <c r="C25" s="4"/>
      <c r="D25" s="4"/>
      <c r="E25" s="4"/>
      <c r="F25" s="4"/>
      <c r="G25" s="4"/>
      <c r="H25" s="4"/>
      <c r="I25" s="4"/>
      <c r="J25" s="4"/>
      <c r="K25" s="4"/>
    </row>
    <row r="26" customFormat="false" ht="15" hidden="false" customHeight="true" outlineLevel="0" collapsed="false">
      <c r="A26" s="45" t="s">
        <v>769</v>
      </c>
      <c r="B26" s="114"/>
      <c r="C26" s="45"/>
      <c r="D26" s="4"/>
      <c r="E26" s="4"/>
      <c r="F26" s="4"/>
      <c r="G26" s="4"/>
      <c r="H26" s="4"/>
      <c r="I26" s="4"/>
      <c r="J26" s="4"/>
      <c r="K26" s="4"/>
    </row>
    <row r="27" customFormat="false" ht="15" hidden="false" customHeight="true" outlineLevel="0" collapsed="false">
      <c r="A27" s="37" t="s">
        <v>348</v>
      </c>
      <c r="B27" s="115" t="s">
        <v>234</v>
      </c>
      <c r="C27" s="37" t="s">
        <v>236</v>
      </c>
      <c r="D27" s="4"/>
      <c r="E27" s="4"/>
      <c r="F27" s="4"/>
      <c r="G27" s="4"/>
      <c r="H27" s="4"/>
      <c r="I27" s="4"/>
      <c r="J27" s="4"/>
      <c r="K27" s="4"/>
    </row>
    <row r="28" customFormat="false" ht="15" hidden="false" customHeight="true" outlineLevel="0" collapsed="false">
      <c r="A28" s="4" t="s">
        <v>566</v>
      </c>
      <c r="B28" s="107" t="n">
        <f aca="false">Healthcare_3_5_5!D19</f>
        <v>4604.50949205</v>
      </c>
      <c r="C28" s="4" t="s">
        <v>770</v>
      </c>
      <c r="D28" s="4"/>
      <c r="E28" s="4"/>
      <c r="F28" s="4"/>
      <c r="G28" s="4"/>
      <c r="H28" s="4"/>
      <c r="I28" s="4"/>
      <c r="J28" s="4"/>
      <c r="K28" s="4"/>
    </row>
    <row r="29" customFormat="false" ht="15" hidden="false" customHeight="true" outlineLevel="0" collapsed="false">
      <c r="A29" s="4" t="s">
        <v>771</v>
      </c>
      <c r="B29" s="107" t="n">
        <f aca="false">Healthcare_3_5_5!D6</f>
        <v>4240</v>
      </c>
      <c r="C29" s="4" t="s">
        <v>772</v>
      </c>
      <c r="D29" s="4"/>
      <c r="E29" s="4"/>
      <c r="F29" s="4"/>
      <c r="G29" s="4"/>
      <c r="H29" s="4"/>
      <c r="I29" s="4"/>
      <c r="J29" s="4"/>
      <c r="K29" s="4"/>
    </row>
    <row r="30" customFormat="false" ht="15" hidden="false" customHeight="true" outlineLevel="0" collapsed="false">
      <c r="A30" s="4" t="s">
        <v>773</v>
      </c>
      <c r="B30" s="107" t="n">
        <f aca="false">B28-B29</f>
        <v>364.50949205</v>
      </c>
      <c r="C30" s="4" t="s">
        <v>774</v>
      </c>
      <c r="D30" s="4"/>
      <c r="E30" s="4"/>
      <c r="F30" s="4"/>
      <c r="G30" s="4"/>
      <c r="H30" s="4"/>
      <c r="I30" s="4"/>
      <c r="J30" s="4"/>
      <c r="K30" s="4"/>
    </row>
    <row r="31" customFormat="false" ht="15" hidden="false" customHeight="true" outlineLevel="0" collapsed="false">
      <c r="A31" s="116" t="s">
        <v>775</v>
      </c>
      <c r="B31" s="116"/>
      <c r="C31" s="116"/>
      <c r="D31" s="4"/>
      <c r="E31" s="4"/>
      <c r="F31" s="4"/>
      <c r="G31" s="4"/>
      <c r="H31" s="4"/>
      <c r="I31" s="4"/>
      <c r="J31" s="4"/>
      <c r="K31" s="4"/>
    </row>
    <row r="32" customFormat="false" ht="15" hidden="false" customHeight="true" outlineLevel="0" collapsed="false">
      <c r="A32" s="64" t="s">
        <v>776</v>
      </c>
      <c r="B32" s="113" t="n">
        <v>0</v>
      </c>
      <c r="C32" s="64" t="s">
        <v>777</v>
      </c>
      <c r="D32" s="4"/>
      <c r="E32" s="4"/>
      <c r="F32" s="4"/>
      <c r="G32" s="4"/>
      <c r="H32" s="4"/>
      <c r="I32" s="4"/>
      <c r="J32" s="4"/>
      <c r="K32" s="4"/>
    </row>
    <row r="33" customFormat="false" ht="15" hidden="false" customHeight="true" outlineLevel="0" collapsed="false">
      <c r="A33" s="4"/>
      <c r="B33" s="107"/>
      <c r="C33" s="4"/>
      <c r="D33" s="4"/>
      <c r="E33" s="4"/>
      <c r="F33" s="4"/>
      <c r="G33" s="4"/>
      <c r="H33" s="4"/>
      <c r="I33" s="4"/>
      <c r="J33" s="4"/>
      <c r="K33" s="4"/>
    </row>
    <row r="34" customFormat="false" ht="15" hidden="false" customHeight="true" outlineLevel="0" collapsed="false">
      <c r="A34" s="45" t="s">
        <v>778</v>
      </c>
      <c r="B34" s="114"/>
      <c r="C34" s="45"/>
      <c r="D34" s="4"/>
      <c r="E34" s="4"/>
      <c r="F34" s="4"/>
      <c r="G34" s="4"/>
      <c r="H34" s="4"/>
      <c r="I34" s="4"/>
      <c r="J34" s="4"/>
      <c r="K34" s="4"/>
    </row>
    <row r="35" customFormat="false" ht="15" hidden="false" customHeight="true" outlineLevel="0" collapsed="false">
      <c r="A35" s="37" t="s">
        <v>348</v>
      </c>
      <c r="B35" s="117" t="s">
        <v>234</v>
      </c>
      <c r="C35" s="37" t="s">
        <v>236</v>
      </c>
      <c r="D35" s="4"/>
      <c r="E35" s="4"/>
      <c r="F35" s="4"/>
      <c r="G35" s="4"/>
      <c r="H35" s="4"/>
      <c r="I35" s="4"/>
      <c r="J35" s="4"/>
      <c r="K35" s="4"/>
    </row>
    <row r="36" customFormat="false" ht="24" hidden="false" customHeight="true" outlineLevel="0" collapsed="false">
      <c r="A36" s="4" t="s">
        <v>779</v>
      </c>
      <c r="B36" s="44" t="n">
        <f aca="false">SS_Hybrid_2024!D12+SS_Hybrid_2024!D14+12+National_Continuity!B24</f>
        <v>1593.665536</v>
      </c>
      <c r="C36" s="4" t="s">
        <v>780</v>
      </c>
      <c r="D36" s="4"/>
      <c r="E36" s="4"/>
      <c r="F36" s="4"/>
      <c r="G36" s="4"/>
      <c r="H36" s="4"/>
      <c r="I36" s="4"/>
      <c r="J36" s="4"/>
      <c r="K36" s="4"/>
    </row>
    <row r="37" customFormat="false" ht="15" hidden="false" customHeight="true" outlineLevel="0" collapsed="false">
      <c r="A37" s="4" t="s">
        <v>781</v>
      </c>
      <c r="B37" s="44" t="n">
        <f aca="false">SS_Hybrid_2024!D5-SS_Hybrid_2024!D15-6</f>
        <v>1461</v>
      </c>
      <c r="C37" s="4" t="s">
        <v>747</v>
      </c>
      <c r="D37" s="4"/>
      <c r="E37" s="4"/>
      <c r="F37" s="4"/>
      <c r="G37" s="4"/>
      <c r="H37" s="4"/>
      <c r="I37" s="4"/>
      <c r="J37" s="4"/>
      <c r="K37" s="4"/>
    </row>
    <row r="38" customFormat="false" ht="15" hidden="false" customHeight="true" outlineLevel="0" collapsed="false">
      <c r="A38" s="111" t="s">
        <v>782</v>
      </c>
      <c r="B38" s="112" t="n">
        <f aca="false">B36-B37</f>
        <v>132.665536</v>
      </c>
      <c r="D38" s="4"/>
      <c r="E38" s="4"/>
      <c r="F38" s="4"/>
      <c r="G38" s="4"/>
      <c r="H38" s="4"/>
      <c r="I38" s="4"/>
      <c r="J38" s="4"/>
      <c r="K38" s="4"/>
    </row>
    <row r="39" customFormat="false" ht="15" hidden="false" customHeight="true" outlineLevel="0" collapsed="false">
      <c r="A39" s="64" t="s">
        <v>783</v>
      </c>
      <c r="B39" s="118"/>
      <c r="C39" s="64"/>
      <c r="D39" s="4"/>
      <c r="E39" s="4"/>
      <c r="F39" s="4"/>
      <c r="G39" s="4"/>
      <c r="H39" s="4"/>
      <c r="I39" s="4"/>
      <c r="J39" s="4"/>
      <c r="K39" s="4"/>
    </row>
    <row r="40" customFormat="false" ht="15" hidden="false" customHeight="true" outlineLevel="0" collapsed="false">
      <c r="A40" s="4"/>
      <c r="B40" s="44"/>
      <c r="C40" s="4"/>
      <c r="D40" s="4"/>
      <c r="E40" s="4"/>
      <c r="F40" s="4"/>
      <c r="G40" s="4"/>
      <c r="H40" s="4"/>
      <c r="I40" s="4"/>
      <c r="J40" s="4"/>
      <c r="K40" s="4"/>
    </row>
    <row r="41" customFormat="false" ht="15" hidden="false" customHeight="true" outlineLevel="0" collapsed="false">
      <c r="A41" s="45" t="s">
        <v>784</v>
      </c>
      <c r="B41" s="46"/>
      <c r="C41" s="45"/>
      <c r="D41" s="4"/>
      <c r="E41" s="4"/>
      <c r="F41" s="4"/>
      <c r="G41" s="4"/>
      <c r="H41" s="4"/>
      <c r="I41" s="4"/>
      <c r="J41" s="4"/>
      <c r="K41" s="4"/>
    </row>
    <row r="42" customFormat="false" ht="15" hidden="false" customHeight="true" outlineLevel="0" collapsed="false">
      <c r="A42" s="37" t="s">
        <v>348</v>
      </c>
      <c r="B42" s="119" t="s">
        <v>234</v>
      </c>
      <c r="C42" s="37" t="s">
        <v>236</v>
      </c>
      <c r="D42" s="4"/>
      <c r="E42" s="4"/>
      <c r="F42" s="4"/>
      <c r="G42" s="4"/>
      <c r="H42" s="4"/>
      <c r="I42" s="4"/>
      <c r="J42" s="4"/>
      <c r="K42" s="4"/>
    </row>
    <row r="43" customFormat="false" ht="15" hidden="false" customHeight="true" outlineLevel="0" collapsed="false">
      <c r="A43" s="120" t="s">
        <v>785</v>
      </c>
      <c r="B43" s="121" t="n">
        <f aca="false">37.1560610633821+(Tax_Revenue_2024!D33-5429.13123619)</f>
        <v>318.956061063382</v>
      </c>
      <c r="C43" s="120" t="s">
        <v>786</v>
      </c>
      <c r="D43" s="4"/>
      <c r="E43" s="4"/>
      <c r="F43" s="4"/>
      <c r="G43" s="4"/>
      <c r="H43" s="4"/>
      <c r="I43" s="4"/>
      <c r="J43" s="4"/>
      <c r="K43" s="4"/>
    </row>
    <row r="44" customFormat="false" ht="15" hidden="false" customHeight="true" outlineLevel="0" collapsed="false">
      <c r="A44" s="4" t="s">
        <v>773</v>
      </c>
      <c r="B44" s="44" t="n">
        <f aca="false">364.50949205+12</f>
        <v>376.50949205</v>
      </c>
      <c r="C44" s="4" t="s">
        <v>787</v>
      </c>
      <c r="D44" s="4"/>
      <c r="E44" s="4"/>
      <c r="F44" s="4"/>
      <c r="G44" s="4"/>
      <c r="H44" s="4"/>
      <c r="I44" s="4"/>
      <c r="J44" s="4"/>
      <c r="K44" s="4"/>
    </row>
    <row r="45" customFormat="false" ht="15" hidden="false" customHeight="true" outlineLevel="0" collapsed="false">
      <c r="A45" s="4" t="s">
        <v>782</v>
      </c>
      <c r="B45" s="44" t="n">
        <f aca="false">Budget_0_4_10!D16</f>
        <v>0</v>
      </c>
      <c r="C45" s="4" t="s">
        <v>788</v>
      </c>
      <c r="D45" s="4"/>
      <c r="E45" s="4"/>
      <c r="F45" s="4"/>
      <c r="G45" s="4"/>
      <c r="H45" s="4"/>
      <c r="I45" s="4"/>
      <c r="J45" s="4"/>
      <c r="K45" s="4"/>
    </row>
    <row r="46" customFormat="false" ht="15" hidden="false" customHeight="true" outlineLevel="0" collapsed="false">
      <c r="A46" s="4" t="s">
        <v>789</v>
      </c>
      <c r="B46" s="44" t="n">
        <f aca="false">Budget_0_4_10!D23</f>
        <v>1079.53101585632</v>
      </c>
      <c r="C46" s="4" t="s">
        <v>790</v>
      </c>
      <c r="D46" s="4"/>
      <c r="E46" s="4"/>
      <c r="F46" s="4"/>
      <c r="G46" s="4"/>
      <c r="H46" s="4"/>
      <c r="I46" s="4"/>
      <c r="J46" s="4"/>
      <c r="K46" s="4"/>
    </row>
    <row r="47" customFormat="false" ht="15" hidden="false" customHeight="true" outlineLevel="0" collapsed="false">
      <c r="A47" s="4" t="s">
        <v>791</v>
      </c>
      <c r="B47" s="122" t="n">
        <f aca="false">B46-(-1833)</f>
        <v>2912.53101585632</v>
      </c>
      <c r="C47" s="4" t="s">
        <v>792</v>
      </c>
      <c r="D47" s="4"/>
      <c r="E47" s="4"/>
      <c r="F47" s="4"/>
      <c r="G47" s="4"/>
      <c r="H47" s="4"/>
      <c r="I47" s="4"/>
      <c r="J47" s="4"/>
      <c r="K47" s="4"/>
    </row>
    <row r="48" customFormat="false" ht="15" hidden="false" customHeight="true" outlineLevel="0" collapsed="false">
      <c r="A48" s="4" t="s">
        <v>793</v>
      </c>
      <c r="B48" s="44" t="n">
        <f aca="false">National_Continuity!D24</f>
        <v>181.224335805155</v>
      </c>
      <c r="C48" s="4" t="s">
        <v>794</v>
      </c>
      <c r="D48" s="4"/>
      <c r="E48" s="4"/>
      <c r="F48" s="4"/>
      <c r="G48" s="4"/>
      <c r="H48" s="4"/>
      <c r="I48" s="4"/>
      <c r="J48" s="4"/>
      <c r="K48" s="4"/>
    </row>
    <row r="49" customFormat="false" ht="15" hidden="false" customHeight="true" outlineLevel="0" collapsed="false">
      <c r="A49" s="111" t="s">
        <v>795</v>
      </c>
      <c r="B49" s="123" t="n">
        <f aca="false">B43</f>
        <v>318.956061063382</v>
      </c>
      <c r="D49" s="4"/>
      <c r="E49" s="4"/>
      <c r="F49" s="4"/>
      <c r="G49" s="4"/>
      <c r="H49" s="4"/>
      <c r="I49" s="4"/>
      <c r="J49" s="4"/>
      <c r="K49" s="4"/>
    </row>
    <row r="50" customFormat="false" ht="15" hidden="false" customHeight="true" outlineLevel="0" collapsed="false">
      <c r="A50" s="4" t="s">
        <v>796</v>
      </c>
      <c r="B50" s="44" t="n">
        <f aca="false">Budget_0_4_10!D23</f>
        <v>1079.53101585632</v>
      </c>
      <c r="C50" s="4" t="s">
        <v>797</v>
      </c>
      <c r="D50" s="4"/>
      <c r="E50" s="4"/>
      <c r="F50" s="4"/>
      <c r="G50" s="4"/>
      <c r="H50" s="4"/>
      <c r="I50" s="4"/>
      <c r="J50" s="4"/>
      <c r="K50" s="4"/>
    </row>
    <row r="51" customFormat="false" ht="15" hidden="false" customHeight="true" outlineLevel="0" collapsed="false">
      <c r="A51" s="4"/>
      <c r="B51" s="47"/>
      <c r="C51" s="4"/>
      <c r="D51" s="4"/>
      <c r="E51" s="4"/>
      <c r="F51" s="4"/>
      <c r="G51" s="4"/>
      <c r="H51" s="4"/>
      <c r="I51" s="4"/>
      <c r="J51" s="4"/>
      <c r="K51" s="4"/>
    </row>
    <row r="52" customFormat="false" ht="15" hidden="false" customHeight="true" outlineLevel="0" collapsed="false">
      <c r="A52" s="45" t="s">
        <v>798</v>
      </c>
      <c r="B52" s="124"/>
      <c r="C52" s="45"/>
      <c r="D52" s="4"/>
      <c r="E52" s="4"/>
      <c r="F52" s="4"/>
      <c r="G52" s="4"/>
      <c r="H52" s="4"/>
      <c r="I52" s="4"/>
      <c r="J52" s="4"/>
      <c r="K52" s="4"/>
    </row>
    <row r="53" customFormat="false" ht="42" hidden="false" customHeight="true" outlineLevel="0" collapsed="false">
      <c r="A53" s="71" t="s">
        <v>348</v>
      </c>
      <c r="B53" s="71"/>
      <c r="C53" s="71"/>
      <c r="D53" s="4"/>
      <c r="E53" s="4"/>
      <c r="F53" s="4"/>
      <c r="G53" s="4"/>
      <c r="H53" s="4"/>
      <c r="I53" s="4"/>
      <c r="J53" s="4"/>
      <c r="K53" s="4"/>
    </row>
    <row r="54" customFormat="false" ht="15" hidden="false" customHeight="true" outlineLevel="0" collapsed="false">
      <c r="A54" s="4" t="s">
        <v>799</v>
      </c>
      <c r="B54" s="47" t="n">
        <f aca="false">Total_Government_Revenue!B24</f>
        <v>9102.69343170247</v>
      </c>
      <c r="C54" s="4" t="s">
        <v>800</v>
      </c>
      <c r="D54" s="4"/>
      <c r="E54" s="4"/>
      <c r="F54" s="4"/>
      <c r="G54" s="4"/>
      <c r="H54" s="4"/>
      <c r="I54" s="4"/>
      <c r="J54" s="4"/>
      <c r="K54" s="4"/>
    </row>
    <row r="55" customFormat="false" ht="15" hidden="false" customHeight="true" outlineLevel="0" collapsed="false">
      <c r="A55" s="4" t="s">
        <v>801</v>
      </c>
      <c r="B55" s="47" t="n">
        <f aca="false">Total_Government_Revenue!B26</f>
        <v>3391.76219551247</v>
      </c>
      <c r="C55" s="4" t="s">
        <v>802</v>
      </c>
      <c r="D55" s="4"/>
      <c r="E55" s="4"/>
      <c r="F55" s="4"/>
      <c r="G55" s="4"/>
      <c r="H55" s="4"/>
      <c r="I55" s="4"/>
      <c r="J55" s="4"/>
      <c r="K55" s="4"/>
    </row>
    <row r="56" customFormat="false" ht="23.25" hidden="false" customHeight="true" outlineLevel="0" collapsed="false">
      <c r="A56" s="4" t="s">
        <v>331</v>
      </c>
      <c r="B56" s="47" t="n">
        <f aca="false">Tax_Revenue_2024!D14</f>
        <v>73.9595975475</v>
      </c>
      <c r="C56" s="4" t="s">
        <v>803</v>
      </c>
      <c r="D56" s="4"/>
      <c r="E56" s="4"/>
      <c r="F56" s="4"/>
      <c r="G56" s="4"/>
      <c r="H56" s="4"/>
      <c r="I56" s="4"/>
      <c r="J56" s="4"/>
      <c r="K56" s="4"/>
    </row>
    <row r="57" customFormat="false" ht="23.25" hidden="false" customHeight="true" outlineLevel="0" collapsed="false">
      <c r="A57" s="4" t="s">
        <v>804</v>
      </c>
      <c r="B57" s="47"/>
      <c r="C57" s="4"/>
      <c r="D57" s="4"/>
      <c r="E57" s="4"/>
      <c r="F57" s="4"/>
      <c r="G57" s="4"/>
      <c r="H57" s="4"/>
      <c r="I57" s="4"/>
      <c r="J57" s="4"/>
      <c r="K57" s="4"/>
    </row>
    <row r="58" customFormat="false" ht="15" hidden="false" customHeight="true" outlineLevel="0" collapsed="false">
      <c r="A58" s="4" t="s">
        <v>348</v>
      </c>
      <c r="B58" s="47" t="s">
        <v>234</v>
      </c>
      <c r="C58" s="4" t="s">
        <v>236</v>
      </c>
      <c r="D58" s="4"/>
      <c r="E58" s="4"/>
      <c r="F58" s="4"/>
      <c r="G58" s="4"/>
      <c r="H58" s="4"/>
      <c r="I58" s="4"/>
      <c r="J58" s="4"/>
      <c r="K58" s="4"/>
    </row>
    <row r="59" customFormat="false" ht="15" hidden="false" customHeight="true" outlineLevel="0" collapsed="false">
      <c r="A59" s="4" t="s">
        <v>805</v>
      </c>
      <c r="B59" s="47" t="n">
        <f aca="false">National_Continuity!D22</f>
        <v>559.289798548091</v>
      </c>
      <c r="C59" s="4" t="s">
        <v>806</v>
      </c>
      <c r="D59" s="4"/>
      <c r="E59" s="4"/>
      <c r="F59" s="4"/>
      <c r="G59" s="4"/>
      <c r="H59" s="4"/>
      <c r="I59" s="4"/>
      <c r="J59" s="4"/>
      <c r="K59" s="4"/>
    </row>
    <row r="60" customFormat="false" ht="15" hidden="false" customHeight="true" outlineLevel="0" collapsed="false">
      <c r="A60" s="4" t="s">
        <v>793</v>
      </c>
      <c r="B60" s="47" t="n">
        <f aca="false">National_Continuity!D24</f>
        <v>181.224335805155</v>
      </c>
      <c r="C60" s="4" t="s">
        <v>807</v>
      </c>
      <c r="D60" s="4"/>
      <c r="E60" s="4"/>
      <c r="F60" s="4"/>
      <c r="G60" s="4"/>
      <c r="H60" s="4"/>
      <c r="I60" s="4"/>
      <c r="J60" s="4"/>
      <c r="K60" s="4"/>
    </row>
    <row r="61" customFormat="false" ht="15" hidden="false" customHeight="true" outlineLevel="0" collapsed="false">
      <c r="A61" s="4" t="s">
        <v>808</v>
      </c>
      <c r="B61" s="47" t="n">
        <f aca="false">National_Continuity!D26</f>
        <v>378.065462742936</v>
      </c>
      <c r="C61" s="4" t="s">
        <v>809</v>
      </c>
      <c r="D61" s="4"/>
      <c r="E61" s="4"/>
      <c r="F61" s="4"/>
      <c r="G61" s="4"/>
      <c r="H61" s="4"/>
      <c r="I61" s="4"/>
      <c r="J61" s="4"/>
      <c r="K61" s="4"/>
    </row>
    <row r="62" customFormat="false" ht="15" hidden="false" customHeight="true" outlineLevel="0" collapsed="false">
      <c r="A62" s="4" t="s">
        <v>810</v>
      </c>
      <c r="B62" s="47" t="n">
        <f aca="false">National_Continuity!D27</f>
        <v>0</v>
      </c>
      <c r="C62" s="4" t="s">
        <v>811</v>
      </c>
      <c r="D62" s="4"/>
      <c r="E62" s="4"/>
      <c r="F62" s="4"/>
      <c r="G62" s="4"/>
      <c r="H62" s="4"/>
      <c r="I62" s="4"/>
      <c r="J62" s="4"/>
      <c r="K62" s="4"/>
    </row>
    <row r="63" customFormat="false" ht="15" hidden="false" customHeight="true" outlineLevel="0" collapsed="false">
      <c r="A63" s="4" t="s">
        <v>812</v>
      </c>
      <c r="B63" s="47" t="n">
        <v>120</v>
      </c>
      <c r="C63" s="4" t="s">
        <v>813</v>
      </c>
      <c r="D63" s="4"/>
      <c r="E63" s="4"/>
      <c r="F63" s="4"/>
      <c r="G63" s="4"/>
      <c r="H63" s="4"/>
      <c r="I63" s="4"/>
      <c r="J63" s="4"/>
      <c r="K63" s="4"/>
    </row>
    <row r="64" customFormat="false" ht="15" hidden="false" customHeight="true" outlineLevel="0" collapsed="false">
      <c r="A64" s="4" t="s">
        <v>814</v>
      </c>
      <c r="B64" s="47" t="n">
        <v>244.50949205</v>
      </c>
      <c r="C64" s="4" t="s">
        <v>815</v>
      </c>
      <c r="D64" s="4"/>
      <c r="E64" s="4"/>
      <c r="F64" s="4"/>
      <c r="G64" s="4"/>
      <c r="H64" s="4"/>
      <c r="I64" s="4"/>
      <c r="J64" s="4"/>
      <c r="K64" s="4"/>
    </row>
    <row r="65" customFormat="false" ht="15" hidden="false" customHeight="true" outlineLevel="0" collapsed="false">
      <c r="A65" s="4" t="s">
        <v>816</v>
      </c>
      <c r="B65" s="47" t="n">
        <f aca="false">National_Continuity!D32</f>
        <v>122.254746025</v>
      </c>
      <c r="C65" s="4" t="s">
        <v>817</v>
      </c>
      <c r="D65" s="4"/>
      <c r="E65" s="4"/>
      <c r="F65" s="4"/>
      <c r="G65" s="4"/>
      <c r="H65" s="4"/>
      <c r="I65" s="4"/>
      <c r="J65" s="4"/>
      <c r="K65" s="4"/>
    </row>
    <row r="66" customFormat="false" ht="15" hidden="false" customHeight="true" outlineLevel="0" collapsed="false">
      <c r="A66" s="4" t="s">
        <v>818</v>
      </c>
      <c r="B66" s="47" t="n">
        <f aca="false">National_Continuity!D33</f>
        <v>122.254746025</v>
      </c>
      <c r="C66" s="4" t="s">
        <v>817</v>
      </c>
      <c r="D66" s="4"/>
      <c r="E66" s="4"/>
      <c r="F66" s="4"/>
      <c r="G66" s="4"/>
      <c r="H66" s="4"/>
      <c r="I66" s="4"/>
      <c r="J66" s="4"/>
      <c r="K66" s="4"/>
    </row>
    <row r="67" customFormat="false" ht="15" hidden="false" customHeight="true" outlineLevel="0" collapsed="false">
      <c r="A67" s="4" t="s">
        <v>819</v>
      </c>
      <c r="B67" s="47" t="n">
        <f aca="false">National_Continuity!D34</f>
        <v>37.1560610633821</v>
      </c>
      <c r="C67" s="4" t="s">
        <v>820</v>
      </c>
      <c r="D67" s="4"/>
      <c r="E67" s="4"/>
      <c r="F67" s="4"/>
      <c r="G67" s="4"/>
      <c r="H67" s="4"/>
      <c r="I67" s="4"/>
      <c r="J67" s="4"/>
      <c r="K67" s="4"/>
    </row>
    <row r="68" customFormat="false" ht="15" hidden="false" customHeight="true" outlineLevel="0" collapsed="false">
      <c r="A68" s="4" t="s">
        <v>821</v>
      </c>
      <c r="B68" s="47" t="n">
        <f aca="false">Budget_0_4_10!D23</f>
        <v>1079.53101585632</v>
      </c>
      <c r="C68" s="4" t="s">
        <v>822</v>
      </c>
      <c r="D68" s="4"/>
      <c r="E68" s="4"/>
      <c r="F68" s="4"/>
      <c r="G68" s="4"/>
      <c r="H68" s="4"/>
      <c r="I68" s="4"/>
      <c r="J68" s="4"/>
      <c r="K68" s="4"/>
    </row>
    <row r="69" customFormat="false" ht="15" hidden="false" customHeight="true" outlineLevel="0" collapsed="false">
      <c r="A69" s="4"/>
      <c r="B69" s="4"/>
      <c r="C69" s="4"/>
      <c r="D69" s="4"/>
      <c r="E69" s="4"/>
      <c r="F69" s="4"/>
      <c r="G69" s="4"/>
      <c r="H69" s="4"/>
      <c r="I69" s="4"/>
      <c r="J69" s="4"/>
      <c r="K69" s="4"/>
    </row>
    <row r="70" customFormat="false" ht="15" hidden="false" customHeight="true" outlineLevel="0" collapsed="false">
      <c r="A70" s="4" t="s">
        <v>823</v>
      </c>
      <c r="B70" s="47" t="n">
        <f aca="false">National_Continuity!B6</f>
        <v>68000</v>
      </c>
      <c r="C70" s="4" t="s">
        <v>824</v>
      </c>
      <c r="D70" s="4"/>
      <c r="E70" s="4"/>
      <c r="F70" s="4"/>
      <c r="G70" s="4"/>
      <c r="H70" s="4"/>
      <c r="I70" s="4"/>
      <c r="J70" s="4"/>
      <c r="K70" s="4"/>
    </row>
    <row r="71" customFormat="false" ht="15" hidden="false" customHeight="true" outlineLevel="0" collapsed="false">
      <c r="A71" s="4"/>
      <c r="B71" s="4"/>
      <c r="C71" s="4"/>
      <c r="D71" s="4"/>
      <c r="E71" s="4"/>
      <c r="F71" s="4"/>
      <c r="G71" s="4"/>
      <c r="H71" s="4"/>
      <c r="I71" s="4"/>
      <c r="J71" s="4"/>
      <c r="K71" s="4"/>
    </row>
    <row r="72" customFormat="false" ht="15" hidden="false" customHeight="true" outlineLevel="0" collapsed="false">
      <c r="A72" s="4"/>
      <c r="B72" s="4"/>
      <c r="C72" s="4"/>
      <c r="D72" s="4"/>
      <c r="E72" s="4"/>
      <c r="F72" s="4"/>
      <c r="G72" s="4"/>
      <c r="H72" s="4"/>
      <c r="I72" s="4"/>
      <c r="J72" s="4"/>
      <c r="K72" s="4"/>
    </row>
    <row r="73" customFormat="false" ht="15" hidden="false" customHeight="true" outlineLevel="0" collapsed="false">
      <c r="A73" s="4"/>
      <c r="B73" s="4"/>
      <c r="C73" s="4"/>
      <c r="D73" s="4"/>
      <c r="E73" s="4"/>
      <c r="F73" s="4"/>
      <c r="G73" s="4"/>
      <c r="H73" s="4"/>
      <c r="I73" s="4"/>
      <c r="J73" s="4"/>
      <c r="K73" s="4"/>
    </row>
    <row r="74" customFormat="false" ht="15" hidden="false" customHeight="true" outlineLevel="0" collapsed="false">
      <c r="A74" s="4"/>
      <c r="B74" s="4"/>
      <c r="C74" s="4"/>
      <c r="D74" s="4"/>
      <c r="E74" s="4"/>
      <c r="F74" s="4"/>
      <c r="G74" s="4"/>
      <c r="H74" s="4"/>
      <c r="I74" s="4"/>
      <c r="J74" s="4"/>
      <c r="K74" s="4"/>
    </row>
    <row r="75" customFormat="false" ht="15" hidden="false" customHeight="true" outlineLevel="0" collapsed="false">
      <c r="A75" s="4"/>
      <c r="B75" s="4"/>
      <c r="C75" s="4"/>
      <c r="D75" s="4"/>
      <c r="E75" s="4"/>
      <c r="F75" s="4"/>
      <c r="G75" s="4"/>
      <c r="H75" s="4"/>
      <c r="I75" s="4"/>
      <c r="J75" s="4"/>
      <c r="K75" s="4"/>
    </row>
    <row r="76" customFormat="false" ht="15" hidden="false" customHeight="true" outlineLevel="0" collapsed="false">
      <c r="A76" s="4"/>
      <c r="B76" s="4"/>
      <c r="C76" s="4"/>
      <c r="D76" s="4"/>
      <c r="E76" s="4"/>
      <c r="F76" s="4"/>
      <c r="G76" s="4"/>
      <c r="H76" s="4"/>
      <c r="I76" s="4"/>
      <c r="J76" s="4"/>
      <c r="K76" s="4"/>
    </row>
    <row r="77" customFormat="false" ht="15" hidden="false" customHeight="true" outlineLevel="0" collapsed="false">
      <c r="A77" s="4"/>
      <c r="B77" s="4"/>
      <c r="C77" s="4"/>
      <c r="D77" s="4"/>
      <c r="E77" s="4"/>
      <c r="F77" s="4"/>
      <c r="G77" s="4"/>
      <c r="H77" s="4"/>
      <c r="I77" s="4"/>
      <c r="J77" s="4"/>
      <c r="K77" s="4"/>
    </row>
    <row r="78" customFormat="false" ht="15" hidden="false" customHeight="true" outlineLevel="0" collapsed="false">
      <c r="A78" s="4"/>
      <c r="B78" s="4"/>
      <c r="C78" s="4"/>
      <c r="D78" s="4"/>
      <c r="E78" s="4"/>
      <c r="F78" s="4"/>
      <c r="G78" s="4"/>
      <c r="H78" s="4"/>
      <c r="I78" s="4"/>
      <c r="J78" s="4"/>
      <c r="K78" s="4"/>
    </row>
    <row r="79" customFormat="false" ht="15" hidden="false" customHeight="true" outlineLevel="0" collapsed="false">
      <c r="A79" s="4"/>
      <c r="B79" s="4"/>
      <c r="C79" s="4"/>
      <c r="D79" s="4"/>
      <c r="E79" s="4"/>
      <c r="F79" s="4"/>
      <c r="G79" s="4"/>
      <c r="H79" s="4"/>
      <c r="I79" s="4"/>
      <c r="J79" s="4"/>
      <c r="K79" s="4"/>
    </row>
    <row r="80" customFormat="false" ht="15" hidden="false" customHeight="true" outlineLevel="0" collapsed="false">
      <c r="A80" s="4"/>
      <c r="B80" s="4"/>
      <c r="C80" s="4"/>
      <c r="D80" s="4"/>
      <c r="E80" s="4"/>
      <c r="F80" s="4"/>
      <c r="G80" s="4"/>
      <c r="H80" s="4"/>
      <c r="I80" s="4"/>
      <c r="J80" s="4"/>
      <c r="K80" s="4"/>
    </row>
    <row r="81" customFormat="false" ht="15" hidden="false" customHeight="true" outlineLevel="0" collapsed="false">
      <c r="A81" s="4"/>
      <c r="B81" s="4"/>
      <c r="C81" s="4"/>
      <c r="D81" s="4"/>
      <c r="E81" s="4"/>
      <c r="F81" s="4"/>
      <c r="G81" s="4"/>
      <c r="H81" s="4"/>
      <c r="I81" s="4"/>
      <c r="J81" s="4"/>
      <c r="K81" s="4"/>
    </row>
    <row r="82" customFormat="false" ht="15" hidden="false" customHeight="true" outlineLevel="0" collapsed="false">
      <c r="A82" s="4"/>
      <c r="B82" s="4"/>
      <c r="C82" s="4"/>
      <c r="D82" s="4"/>
      <c r="E82" s="4"/>
      <c r="F82" s="4"/>
      <c r="G82" s="4"/>
      <c r="H82" s="4"/>
      <c r="I82" s="4"/>
      <c r="J82" s="4"/>
      <c r="K82" s="4"/>
    </row>
    <row r="83" customFormat="false" ht="15" hidden="false" customHeight="true" outlineLevel="0" collapsed="false">
      <c r="A83" s="4"/>
      <c r="B83" s="4"/>
      <c r="C83" s="4"/>
      <c r="D83" s="4"/>
      <c r="E83" s="4"/>
      <c r="F83" s="4"/>
      <c r="G83" s="4"/>
      <c r="H83" s="4"/>
      <c r="I83" s="4"/>
      <c r="J83" s="4"/>
      <c r="K83" s="4"/>
    </row>
    <row r="84" customFormat="false" ht="15" hidden="false" customHeight="true" outlineLevel="0" collapsed="false">
      <c r="A84" s="4"/>
      <c r="B84" s="4"/>
      <c r="C84" s="4"/>
      <c r="D84" s="4"/>
      <c r="E84" s="4"/>
      <c r="F84" s="4"/>
      <c r="G84" s="4"/>
      <c r="H84" s="4"/>
      <c r="I84" s="4"/>
      <c r="J84" s="4"/>
      <c r="K84" s="4"/>
    </row>
    <row r="85" customFormat="false" ht="15" hidden="false" customHeight="true" outlineLevel="0" collapsed="false">
      <c r="A85" s="4"/>
      <c r="B85" s="4"/>
      <c r="C85" s="4"/>
      <c r="D85" s="4"/>
      <c r="E85" s="4"/>
      <c r="F85" s="4"/>
      <c r="G85" s="4"/>
      <c r="H85" s="4"/>
      <c r="I85" s="4"/>
      <c r="J85" s="4"/>
      <c r="K85" s="4"/>
    </row>
    <row r="86" customFormat="false" ht="15" hidden="false" customHeight="true" outlineLevel="0" collapsed="false">
      <c r="A86" s="4"/>
      <c r="B86" s="4"/>
      <c r="C86" s="4"/>
      <c r="D86" s="4"/>
      <c r="E86" s="4"/>
      <c r="F86" s="4"/>
      <c r="G86" s="4"/>
      <c r="H86" s="4"/>
      <c r="I86" s="4"/>
      <c r="J86" s="4"/>
      <c r="K86" s="4"/>
    </row>
    <row r="87" customFormat="false" ht="15" hidden="false" customHeight="true" outlineLevel="0" collapsed="false">
      <c r="A87" s="4"/>
      <c r="B87" s="4"/>
      <c r="C87" s="4"/>
      <c r="D87" s="4"/>
      <c r="E87" s="4"/>
      <c r="F87" s="4"/>
      <c r="G87" s="4"/>
      <c r="H87" s="4"/>
      <c r="I87" s="4"/>
      <c r="J87" s="4"/>
      <c r="K87" s="4"/>
    </row>
    <row r="88" customFormat="false" ht="15" hidden="false" customHeight="true" outlineLevel="0" collapsed="false">
      <c r="A88" s="4"/>
      <c r="B88" s="4"/>
      <c r="C88" s="4"/>
      <c r="D88" s="4"/>
      <c r="E88" s="4"/>
      <c r="F88" s="4"/>
      <c r="G88" s="4"/>
      <c r="H88" s="4"/>
      <c r="I88" s="4"/>
      <c r="J88" s="4"/>
      <c r="K88" s="4"/>
    </row>
    <row r="89" customFormat="false" ht="15" hidden="false" customHeight="true" outlineLevel="0" collapsed="false">
      <c r="A89" s="4"/>
      <c r="B89" s="4"/>
      <c r="C89" s="4"/>
      <c r="D89" s="4"/>
      <c r="E89" s="4"/>
      <c r="F89" s="4"/>
      <c r="G89" s="4"/>
      <c r="H89" s="4"/>
      <c r="I89" s="4"/>
      <c r="J89" s="4"/>
      <c r="K89" s="4"/>
    </row>
    <row r="90" customFormat="false" ht="15" hidden="false" customHeight="true" outlineLevel="0" collapsed="false">
      <c r="A90" s="4"/>
      <c r="B90" s="4"/>
      <c r="C90" s="4"/>
      <c r="D90" s="4"/>
      <c r="E90" s="4"/>
      <c r="F90" s="4"/>
      <c r="G90" s="4"/>
      <c r="H90" s="4"/>
      <c r="I90" s="4"/>
      <c r="J90" s="4"/>
      <c r="K90" s="4"/>
    </row>
    <row r="91" customFormat="false" ht="15" hidden="false" customHeight="true" outlineLevel="0" collapsed="false">
      <c r="A91" s="4"/>
      <c r="B91" s="4"/>
      <c r="C91" s="4"/>
      <c r="D91" s="4"/>
      <c r="E91" s="4"/>
      <c r="F91" s="4"/>
      <c r="G91" s="4"/>
      <c r="H91" s="4"/>
      <c r="I91" s="4"/>
      <c r="J91" s="4"/>
      <c r="K91" s="4"/>
    </row>
    <row r="92" customFormat="false" ht="15" hidden="false" customHeight="true" outlineLevel="0" collapsed="false">
      <c r="A92" s="4"/>
      <c r="B92" s="4"/>
      <c r="C92" s="4"/>
      <c r="D92" s="4"/>
      <c r="E92" s="4"/>
      <c r="F92" s="4"/>
      <c r="G92" s="4"/>
      <c r="H92" s="4"/>
      <c r="I92" s="4"/>
      <c r="J92" s="4"/>
      <c r="K92" s="4"/>
    </row>
    <row r="93" customFormat="false" ht="15" hidden="false" customHeight="true" outlineLevel="0" collapsed="false">
      <c r="A93" s="4"/>
      <c r="B93" s="4"/>
      <c r="C93" s="4"/>
      <c r="D93" s="4"/>
      <c r="E93" s="4"/>
      <c r="F93" s="4"/>
      <c r="G93" s="4"/>
      <c r="H93" s="4"/>
      <c r="I93" s="4"/>
      <c r="J93" s="4"/>
      <c r="K93" s="4"/>
    </row>
    <row r="94" customFormat="false" ht="15" hidden="false" customHeight="true" outlineLevel="0" collapsed="false">
      <c r="A94" s="4"/>
      <c r="B94" s="4"/>
      <c r="C94" s="4"/>
      <c r="D94" s="4"/>
      <c r="E94" s="4"/>
      <c r="F94" s="4"/>
      <c r="G94" s="4"/>
      <c r="H94" s="4"/>
      <c r="I94" s="4"/>
      <c r="J94" s="4"/>
      <c r="K94" s="4"/>
    </row>
    <row r="95" customFormat="false" ht="15" hidden="false" customHeight="true" outlineLevel="0" collapsed="false">
      <c r="A95" s="4"/>
      <c r="B95" s="4"/>
      <c r="C95" s="4"/>
      <c r="D95" s="4"/>
      <c r="E95" s="4"/>
      <c r="F95" s="4"/>
      <c r="G95" s="4"/>
      <c r="H95" s="4"/>
      <c r="I95" s="4"/>
      <c r="J95" s="4"/>
      <c r="K95" s="4"/>
    </row>
    <row r="96" customFormat="false" ht="15" hidden="false" customHeight="true" outlineLevel="0" collapsed="false">
      <c r="A96" s="4"/>
      <c r="B96" s="4"/>
      <c r="C96" s="4"/>
      <c r="D96" s="4"/>
      <c r="E96" s="4"/>
      <c r="F96" s="4"/>
      <c r="G96" s="4"/>
      <c r="H96" s="4"/>
      <c r="I96" s="4"/>
      <c r="J96" s="4"/>
      <c r="K96" s="4"/>
    </row>
    <row r="97" customFormat="false" ht="15" hidden="false" customHeight="true" outlineLevel="0" collapsed="false">
      <c r="A97" s="4"/>
      <c r="B97" s="4"/>
      <c r="C97" s="4"/>
      <c r="D97" s="4"/>
      <c r="E97" s="4"/>
      <c r="F97" s="4"/>
      <c r="G97" s="4"/>
      <c r="H97" s="4"/>
      <c r="I97" s="4"/>
      <c r="J97" s="4"/>
      <c r="K97" s="4"/>
    </row>
    <row r="98" customFormat="false" ht="15" hidden="false" customHeight="true" outlineLevel="0" collapsed="false">
      <c r="A98" s="4"/>
      <c r="B98" s="4"/>
      <c r="C98" s="4"/>
      <c r="D98" s="4"/>
      <c r="E98" s="4"/>
      <c r="F98" s="4"/>
      <c r="G98" s="4"/>
      <c r="H98" s="4"/>
      <c r="I98" s="4"/>
      <c r="J98" s="4"/>
      <c r="K98" s="4"/>
    </row>
    <row r="99" customFormat="false" ht="15" hidden="false" customHeight="true" outlineLevel="0" collapsed="false">
      <c r="A99" s="4"/>
      <c r="B99" s="4"/>
      <c r="C99" s="4"/>
      <c r="D99" s="4"/>
      <c r="E99" s="4"/>
      <c r="F99" s="4"/>
      <c r="G99" s="4"/>
      <c r="H99" s="4"/>
      <c r="I99" s="4"/>
      <c r="J99" s="4"/>
      <c r="K99" s="4"/>
    </row>
    <row r="100" customFormat="false" ht="15" hidden="false" customHeight="true" outlineLevel="0" collapsed="false">
      <c r="A100" s="4"/>
      <c r="B100" s="4"/>
      <c r="C100" s="4"/>
      <c r="D100" s="4"/>
      <c r="E100" s="4"/>
      <c r="F100" s="4"/>
      <c r="G100" s="4"/>
      <c r="H100" s="4"/>
      <c r="I100" s="4"/>
      <c r="J100" s="4"/>
      <c r="K100" s="4"/>
    </row>
  </sheetData>
  <mergeCells count="6">
    <mergeCell ref="A1:C1"/>
    <mergeCell ref="A2:C2"/>
    <mergeCell ref="A3:C3"/>
    <mergeCell ref="A13:C13"/>
    <mergeCell ref="A31:C31"/>
    <mergeCell ref="A53:C53"/>
  </mergeCells>
  <conditionalFormatting sqref="B5:B50">
    <cfRule type="expression" priority="2" aboveAverage="0" equalAverage="0" bottom="0" percent="0" rank="0" text="" dxfId="0">
      <formula>B5&lt;0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4"/>
    <col collapsed="false" customWidth="true" hidden="false" outlineLevel="0" max="2" min="2" style="17" width="18"/>
    <col collapsed="false" customWidth="true" hidden="false" outlineLevel="0" max="3" min="3" style="17" width="48"/>
  </cols>
  <sheetData>
    <row r="1" customFormat="false" ht="36" hidden="false" customHeight="true" outlineLevel="0" collapsed="false">
      <c r="A1" s="125" t="s">
        <v>825</v>
      </c>
      <c r="B1" s="125"/>
      <c r="C1" s="125"/>
    </row>
    <row r="2" customFormat="false" ht="24" hidden="false" customHeight="true" outlineLevel="0" collapsed="false">
      <c r="A2" s="36" t="s">
        <v>826</v>
      </c>
      <c r="B2" s="36"/>
      <c r="C2" s="36"/>
    </row>
    <row r="3" customFormat="false" ht="15" hidden="false" customHeight="true" outlineLevel="0" collapsed="false">
      <c r="A3" s="106" t="s">
        <v>348</v>
      </c>
      <c r="B3" s="106" t="s">
        <v>234</v>
      </c>
      <c r="C3" s="106" t="s">
        <v>827</v>
      </c>
    </row>
    <row r="4" customFormat="false" ht="15" hidden="false" customHeight="true" outlineLevel="0" collapsed="false">
      <c r="A4" s="4" t="s">
        <v>785</v>
      </c>
      <c r="B4" s="126" t="n">
        <f aca="false">Deficit_Views!B43</f>
        <v>318.956061063382</v>
      </c>
      <c r="C4" s="4" t="s">
        <v>828</v>
      </c>
    </row>
    <row r="5" customFormat="false" ht="15" hidden="false" customHeight="true" outlineLevel="0" collapsed="false">
      <c r="A5" s="4" t="s">
        <v>773</v>
      </c>
      <c r="B5" s="126" t="n">
        <f aca="false">Deficit_Views!B44</f>
        <v>376.50949205</v>
      </c>
      <c r="C5" s="4" t="s">
        <v>829</v>
      </c>
    </row>
    <row r="6" customFormat="false" ht="15" hidden="false" customHeight="true" outlineLevel="0" collapsed="false">
      <c r="A6" s="4" t="s">
        <v>830</v>
      </c>
      <c r="B6" s="126" t="n">
        <f aca="false">Deficit_Views!B45</f>
        <v>0</v>
      </c>
      <c r="C6" s="4" t="s">
        <v>831</v>
      </c>
    </row>
    <row r="7" customFormat="false" ht="15" hidden="false" customHeight="true" outlineLevel="0" collapsed="false">
      <c r="A7" s="4" t="s">
        <v>808</v>
      </c>
      <c r="B7" s="126" t="n">
        <f aca="false">National_Continuity!D26</f>
        <v>378.065462742936</v>
      </c>
      <c r="C7" s="4" t="s">
        <v>832</v>
      </c>
    </row>
    <row r="8" customFormat="false" ht="15" hidden="false" customHeight="true" outlineLevel="0" collapsed="false">
      <c r="A8" s="127" t="s">
        <v>833</v>
      </c>
      <c r="B8" s="128" t="n">
        <f aca="false">6</f>
        <v>6</v>
      </c>
      <c r="C8" s="127" t="s">
        <v>834</v>
      </c>
    </row>
    <row r="9" customFormat="false" ht="15" hidden="false" customHeight="true" outlineLevel="0" collapsed="false">
      <c r="A9" s="4" t="s">
        <v>835</v>
      </c>
      <c r="B9" s="126" t="n">
        <f aca="false">SUM(B4:B8)</f>
        <v>1079.53101585632</v>
      </c>
      <c r="C9" s="4" t="s">
        <v>836</v>
      </c>
    </row>
    <row r="10" customFormat="false" ht="15" hidden="false" customHeight="true" outlineLevel="0" collapsed="false">
      <c r="A10" s="4" t="s">
        <v>837</v>
      </c>
      <c r="B10" s="126" t="n">
        <f aca="false">Deficit_Views!B46</f>
        <v>1079.53101585632</v>
      </c>
      <c r="C10" s="4" t="s">
        <v>838</v>
      </c>
    </row>
    <row r="11" customFormat="false" ht="15" hidden="false" customHeight="true" outlineLevel="0" collapsed="false">
      <c r="A11" s="129" t="s">
        <v>839</v>
      </c>
      <c r="B11" s="130" t="n">
        <f aca="false">B9-B10</f>
        <v>0</v>
      </c>
      <c r="C11" s="129" t="s">
        <v>28</v>
      </c>
    </row>
    <row r="12" customFormat="false" ht="15" hidden="false" customHeight="true" outlineLevel="0" collapsed="false">
      <c r="A12" s="120"/>
      <c r="B12" s="131"/>
      <c r="C12" s="120"/>
    </row>
    <row r="13" customFormat="false" ht="15" hidden="false" customHeight="true" outlineLevel="0" collapsed="false">
      <c r="A13" s="75"/>
      <c r="B13" s="132"/>
      <c r="C13" s="75"/>
    </row>
    <row r="14" customFormat="false" ht="15" hidden="false" customHeight="true" outlineLevel="0" collapsed="false">
      <c r="A14" s="71"/>
      <c r="B14" s="71"/>
      <c r="C14" s="71"/>
    </row>
    <row r="15" customFormat="false" ht="43.5" hidden="false" customHeight="true" outlineLevel="0" collapsed="false">
      <c r="A15" s="127"/>
      <c r="B15" s="114"/>
      <c r="C15" s="127"/>
    </row>
    <row r="16" customFormat="false" ht="15" hidden="false" customHeight="true" outlineLevel="0" collapsed="false">
      <c r="A16" s="127"/>
      <c r="B16" s="114"/>
      <c r="C16" s="127"/>
    </row>
    <row r="17" customFormat="false" ht="15" hidden="false" customHeight="true" outlineLevel="0" collapsed="false">
      <c r="A17" s="127"/>
      <c r="B17" s="114"/>
      <c r="C17" s="127"/>
    </row>
    <row r="18" customFormat="false" ht="15" hidden="false" customHeight="true" outlineLevel="0" collapsed="false">
      <c r="A18" s="4"/>
      <c r="B18" s="4"/>
      <c r="C18" s="4"/>
    </row>
  </sheetData>
  <mergeCells count="3">
    <mergeCell ref="A1:C1"/>
    <mergeCell ref="A2:C2"/>
    <mergeCell ref="A14:C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7" t="s">
        <v>840</v>
      </c>
      <c r="B1" s="17"/>
      <c r="C1" s="17"/>
      <c r="D1" s="17"/>
      <c r="E1" s="17"/>
      <c r="F1" s="17"/>
    </row>
    <row r="2" customFormat="false" ht="15" hidden="false" customHeight="true" outlineLevel="0" collapsed="false">
      <c r="A2" s="17" t="s">
        <v>841</v>
      </c>
      <c r="B2" s="17"/>
      <c r="C2" s="17"/>
      <c r="D2" s="17"/>
      <c r="E2" s="17"/>
      <c r="F2" s="17"/>
    </row>
    <row r="3" customFormat="false" ht="15" hidden="false" customHeight="true" outlineLevel="0" collapsed="false">
      <c r="A3" s="17"/>
      <c r="B3" s="17"/>
      <c r="C3" s="17"/>
      <c r="D3" s="17"/>
      <c r="E3" s="17"/>
      <c r="F3" s="17"/>
    </row>
    <row r="4" customFormat="false" ht="15" hidden="false" customHeight="true" outlineLevel="0" collapsed="false">
      <c r="A4" s="17" t="s">
        <v>842</v>
      </c>
      <c r="B4" s="17" t="s">
        <v>843</v>
      </c>
      <c r="C4" s="17"/>
      <c r="D4" s="17"/>
      <c r="E4" s="17"/>
      <c r="F4" s="17"/>
    </row>
    <row r="5" customFormat="false" ht="15" hidden="false" customHeight="true" outlineLevel="0" collapsed="false">
      <c r="A5" s="17" t="s">
        <v>844</v>
      </c>
      <c r="B5" s="123" t="n">
        <f aca="false">Deficit_Views!B43</f>
        <v>318.956061063382</v>
      </c>
      <c r="C5" s="17"/>
      <c r="D5" s="17"/>
      <c r="E5" s="17"/>
      <c r="F5" s="17"/>
    </row>
    <row r="6" customFormat="false" ht="15" hidden="false" customHeight="true" outlineLevel="0" collapsed="false">
      <c r="A6" s="17" t="s">
        <v>691</v>
      </c>
      <c r="B6" s="17" t="s">
        <v>845</v>
      </c>
      <c r="C6" s="17"/>
      <c r="D6" s="17"/>
      <c r="E6" s="17"/>
      <c r="F6" s="17"/>
    </row>
    <row r="7" customFormat="false" ht="15" hidden="false" customHeight="true" outlineLevel="0" collapsed="false">
      <c r="A7" s="17"/>
      <c r="B7" s="17"/>
      <c r="C7" s="17"/>
      <c r="D7" s="17"/>
      <c r="E7" s="17"/>
      <c r="F7" s="17"/>
    </row>
    <row r="8" customFormat="false" ht="15" hidden="false" customHeight="true" outlineLevel="0" collapsed="false">
      <c r="A8" s="17" t="s">
        <v>846</v>
      </c>
      <c r="B8" s="17"/>
      <c r="C8" s="17"/>
      <c r="D8" s="17"/>
      <c r="E8" s="17"/>
      <c r="F8" s="17"/>
    </row>
    <row r="9" customFormat="false" ht="15" hidden="false" customHeight="true" outlineLevel="0" collapsed="false">
      <c r="A9" s="17"/>
      <c r="B9" s="17"/>
      <c r="C9" s="17"/>
      <c r="D9" s="17"/>
      <c r="E9" s="17"/>
      <c r="F9" s="17"/>
    </row>
    <row r="10" customFormat="false" ht="15" hidden="false" customHeight="true" outlineLevel="0" collapsed="false">
      <c r="A10" s="17"/>
      <c r="B10" s="17"/>
      <c r="C10" s="17"/>
      <c r="D10" s="17"/>
      <c r="E10" s="17"/>
      <c r="F10" s="17"/>
    </row>
    <row r="11" customFormat="false" ht="15" hidden="false" customHeight="true" outlineLevel="0" collapsed="false">
      <c r="A11" s="17"/>
      <c r="B11" s="17"/>
      <c r="C11" s="17"/>
      <c r="D11" s="17"/>
      <c r="E11" s="17"/>
      <c r="F11" s="17"/>
    </row>
    <row r="12" customFormat="false" ht="15" hidden="false" customHeight="true" outlineLevel="0" collapsed="false">
      <c r="A12" s="17"/>
      <c r="B12" s="17"/>
      <c r="C12" s="17"/>
      <c r="D12" s="17"/>
      <c r="E12" s="17"/>
      <c r="F12" s="17"/>
    </row>
    <row r="13" customFormat="false" ht="15" hidden="false" customHeight="true" outlineLevel="0" collapsed="false">
      <c r="A13" s="17"/>
      <c r="B13" s="17"/>
      <c r="C13" s="17"/>
      <c r="D13" s="17"/>
      <c r="E13" s="17"/>
      <c r="F13" s="17"/>
    </row>
    <row r="14" customFormat="false" ht="672.75" hidden="false" customHeight="true" outlineLevel="0" collapsed="false">
      <c r="A14" s="4"/>
      <c r="B14" s="17"/>
      <c r="C14" s="17"/>
      <c r="D14" s="17"/>
      <c r="E14" s="17"/>
      <c r="F14"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true" outlineLevel="0" collapsed="false">
      <c r="A1" s="17" t="s">
        <v>847</v>
      </c>
      <c r="B1" s="17"/>
      <c r="C1" s="17"/>
      <c r="D1" s="17"/>
    </row>
    <row r="2" customFormat="false" ht="15" hidden="false" customHeight="true" outlineLevel="0" collapsed="false">
      <c r="A2" s="17" t="s">
        <v>841</v>
      </c>
      <c r="B2" s="17"/>
      <c r="C2" s="17"/>
      <c r="D2" s="17"/>
    </row>
    <row r="3" customFormat="false" ht="15" hidden="false" customHeight="true" outlineLevel="0" collapsed="false">
      <c r="A3" s="17"/>
      <c r="B3" s="17"/>
      <c r="C3" s="17"/>
      <c r="D3" s="17"/>
    </row>
    <row r="4" customFormat="false" ht="15" hidden="false" customHeight="true" outlineLevel="0" collapsed="false">
      <c r="A4" s="17" t="s">
        <v>687</v>
      </c>
      <c r="B4" s="17" t="s">
        <v>688</v>
      </c>
      <c r="C4" s="17" t="s">
        <v>691</v>
      </c>
      <c r="D4" s="17" t="s">
        <v>236</v>
      </c>
    </row>
    <row r="5" customFormat="false" ht="15" hidden="false" customHeight="true" outlineLevel="0" collapsed="false">
      <c r="A5" s="17" t="s">
        <v>848</v>
      </c>
      <c r="B5" s="123" t="n">
        <f aca="false">Deficit_Views!B43</f>
        <v>318.956061063382</v>
      </c>
      <c r="C5" s="17" t="s">
        <v>849</v>
      </c>
      <c r="D5" s="17" t="s">
        <v>850</v>
      </c>
    </row>
    <row r="6" customFormat="false" ht="15" hidden="false" customHeight="true" outlineLevel="0" collapsed="false">
      <c r="A6" s="17" t="s">
        <v>851</v>
      </c>
      <c r="B6" s="17" t="n">
        <v>0</v>
      </c>
      <c r="C6" s="17" t="s">
        <v>852</v>
      </c>
      <c r="D6" s="17" t="s">
        <v>853</v>
      </c>
    </row>
    <row r="7" customFormat="false" ht="15" hidden="false" customHeight="true" outlineLevel="0" collapsed="false">
      <c r="A7" s="17" t="s">
        <v>854</v>
      </c>
      <c r="B7" s="17" t="n">
        <v>0</v>
      </c>
      <c r="C7" s="17" t="s">
        <v>852</v>
      </c>
      <c r="D7" s="17" t="s">
        <v>855</v>
      </c>
    </row>
    <row r="8" customFormat="false" ht="15" hidden="false" customHeight="true" outlineLevel="0" collapsed="false">
      <c r="A8" s="17" t="s">
        <v>856</v>
      </c>
      <c r="B8" s="17" t="n">
        <v>0</v>
      </c>
      <c r="C8" s="17" t="s">
        <v>857</v>
      </c>
      <c r="D8" s="17" t="s">
        <v>858</v>
      </c>
    </row>
    <row r="9" customFormat="false" ht="15" hidden="false" customHeight="true" outlineLevel="0" collapsed="false">
      <c r="A9" s="17" t="s">
        <v>859</v>
      </c>
      <c r="B9" s="17" t="n">
        <v>0</v>
      </c>
      <c r="C9" s="17" t="s">
        <v>857</v>
      </c>
      <c r="D9" s="17" t="s">
        <v>860</v>
      </c>
    </row>
    <row r="10" customFormat="false" ht="15" hidden="false" customHeight="true" outlineLevel="0" collapsed="false">
      <c r="A10" s="17"/>
      <c r="B10" s="17"/>
      <c r="C10" s="17"/>
      <c r="D10" s="17"/>
    </row>
    <row r="11" customFormat="false" ht="15" hidden="false" customHeight="true" outlineLevel="0" collapsed="false">
      <c r="A11" s="17" t="s">
        <v>861</v>
      </c>
      <c r="B11" s="17"/>
      <c r="C11" s="17"/>
      <c r="D11" s="1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8"/>
    <col collapsed="false" customWidth="true" hidden="false" outlineLevel="0" max="4" min="2" style="17" width="22"/>
    <col collapsed="false" customWidth="true" hidden="false" outlineLevel="0" max="6" min="5" style="17" width="45"/>
  </cols>
  <sheetData>
    <row r="1" customFormat="false" ht="27.75" hidden="false" customHeight="true" outlineLevel="0" collapsed="false">
      <c r="A1" s="35" t="s">
        <v>862</v>
      </c>
      <c r="B1" s="35"/>
      <c r="C1" s="35"/>
      <c r="D1" s="35"/>
      <c r="E1" s="35"/>
      <c r="F1" s="35"/>
      <c r="G1" s="4"/>
      <c r="H1" s="4"/>
      <c r="I1" s="4"/>
      <c r="J1" s="4"/>
      <c r="K1" s="4"/>
    </row>
    <row r="2" customFormat="false" ht="33.75" hidden="false" customHeight="true" outlineLevel="0" collapsed="false">
      <c r="A2" s="133" t="s">
        <v>863</v>
      </c>
      <c r="B2" s="133"/>
      <c r="C2" s="133"/>
      <c r="D2" s="133"/>
      <c r="E2" s="133"/>
      <c r="F2" s="133"/>
      <c r="G2" s="4"/>
      <c r="H2" s="4"/>
      <c r="I2" s="4"/>
      <c r="J2" s="4"/>
      <c r="K2" s="4"/>
    </row>
    <row r="3" customFormat="false" ht="15" hidden="false" customHeight="true" outlineLevel="0" collapsed="false">
      <c r="A3" s="4"/>
      <c r="B3" s="4"/>
      <c r="C3" s="4"/>
      <c r="D3" s="4"/>
      <c r="E3" s="4"/>
      <c r="F3" s="4"/>
      <c r="G3" s="4"/>
      <c r="H3" s="4"/>
      <c r="I3" s="4"/>
      <c r="J3" s="4"/>
      <c r="K3" s="4"/>
    </row>
    <row r="4" customFormat="false" ht="24" hidden="false" customHeight="true" outlineLevel="0" collapsed="false">
      <c r="A4" s="106" t="s">
        <v>864</v>
      </c>
      <c r="B4" s="106" t="s">
        <v>865</v>
      </c>
      <c r="C4" s="106" t="s">
        <v>866</v>
      </c>
      <c r="D4" s="106" t="s">
        <v>867</v>
      </c>
      <c r="E4" s="106" t="s">
        <v>690</v>
      </c>
      <c r="F4" s="106" t="s">
        <v>868</v>
      </c>
      <c r="G4" s="4"/>
      <c r="H4" s="4"/>
      <c r="I4" s="4"/>
      <c r="J4" s="4"/>
      <c r="K4" s="4"/>
    </row>
    <row r="5" customFormat="false" ht="24" hidden="false" customHeight="true" outlineLevel="0" collapsed="false">
      <c r="A5" s="134" t="s">
        <v>869</v>
      </c>
      <c r="B5" s="135" t="n">
        <v>-1833</v>
      </c>
      <c r="C5" s="136" t="n">
        <f aca="false">Deficit_Views!B43</f>
        <v>318.956061063382</v>
      </c>
      <c r="D5" s="136" t="n">
        <f aca="false">C5-B5</f>
        <v>2151.95606106338</v>
      </c>
      <c r="E5" s="134" t="s">
        <v>870</v>
      </c>
      <c r="F5" s="134" t="s">
        <v>871</v>
      </c>
      <c r="G5" s="4"/>
      <c r="H5" s="4"/>
      <c r="I5" s="4"/>
      <c r="J5" s="4"/>
      <c r="K5" s="4"/>
    </row>
    <row r="6" customFormat="false" ht="24" hidden="false" customHeight="true" outlineLevel="0" collapsed="false">
      <c r="A6" s="134" t="s">
        <v>872</v>
      </c>
      <c r="B6" s="135" t="n">
        <v>-67</v>
      </c>
      <c r="C6" s="136" t="n">
        <f aca="false">Deficit_Views!B45</f>
        <v>0</v>
      </c>
      <c r="D6" s="136" t="n">
        <f aca="false">C6-B6</f>
        <v>67</v>
      </c>
      <c r="E6" s="134" t="s">
        <v>873</v>
      </c>
      <c r="F6" s="134" t="s">
        <v>874</v>
      </c>
      <c r="G6" s="4"/>
      <c r="H6" s="4"/>
      <c r="I6" s="4"/>
      <c r="J6" s="4"/>
      <c r="K6" s="4"/>
    </row>
    <row r="7" customFormat="false" ht="24" hidden="false" customHeight="true" outlineLevel="0" collapsed="false">
      <c r="A7" s="134" t="s">
        <v>875</v>
      </c>
      <c r="B7" s="135" t="n">
        <v>5300</v>
      </c>
      <c r="C7" s="136" t="n">
        <f aca="false">Healthcare_3_5_5!D6</f>
        <v>4240</v>
      </c>
      <c r="D7" s="136" t="n">
        <f aca="false">C7-B7</f>
        <v>-1060</v>
      </c>
      <c r="E7" s="134" t="s">
        <v>876</v>
      </c>
      <c r="F7" s="134" t="s">
        <v>877</v>
      </c>
      <c r="G7" s="4"/>
      <c r="H7" s="4"/>
      <c r="I7" s="4"/>
      <c r="J7" s="4"/>
      <c r="K7" s="4"/>
    </row>
    <row r="8" customFormat="false" ht="24" hidden="false" customHeight="true" outlineLevel="0" collapsed="false">
      <c r="A8" s="134" t="s">
        <v>878</v>
      </c>
      <c r="B8" s="135" t="n">
        <v>0</v>
      </c>
      <c r="C8" s="136" t="n">
        <f aca="false">Deficit_Views!B44</f>
        <v>376.50949205</v>
      </c>
      <c r="D8" s="136" t="n">
        <f aca="false">C8-B8</f>
        <v>376.50949205</v>
      </c>
      <c r="E8" s="134" t="s">
        <v>879</v>
      </c>
      <c r="F8" s="134" t="s">
        <v>880</v>
      </c>
      <c r="G8" s="4"/>
      <c r="H8" s="4"/>
      <c r="I8" s="4"/>
      <c r="J8" s="4"/>
      <c r="K8" s="4"/>
    </row>
    <row r="9" customFormat="false" ht="24" hidden="false" customHeight="true" outlineLevel="0" collapsed="false">
      <c r="A9" s="134" t="s">
        <v>789</v>
      </c>
      <c r="B9" s="135" t="n">
        <v>-1833</v>
      </c>
      <c r="C9" s="136" t="n">
        <f aca="false">Deficit_Views!B46</f>
        <v>1079.53101585632</v>
      </c>
      <c r="D9" s="136" t="n">
        <f aca="false">C9-B9</f>
        <v>2912.53101585632</v>
      </c>
      <c r="E9" s="134" t="s">
        <v>881</v>
      </c>
      <c r="F9" s="134" t="s">
        <v>882</v>
      </c>
      <c r="G9" s="4"/>
      <c r="H9" s="4"/>
      <c r="I9" s="4"/>
      <c r="J9" s="4"/>
      <c r="K9" s="4"/>
    </row>
    <row r="10" customFormat="false" ht="15" hidden="false" customHeight="true" outlineLevel="0" collapsed="false">
      <c r="A10" s="4"/>
      <c r="B10" s="50"/>
      <c r="C10" s="107"/>
      <c r="D10" s="107"/>
      <c r="E10" s="4"/>
      <c r="F10" s="4"/>
      <c r="G10" s="4"/>
      <c r="H10" s="4"/>
      <c r="I10" s="4"/>
      <c r="J10" s="4"/>
      <c r="K10" s="4"/>
    </row>
    <row r="11" customFormat="false" ht="15" hidden="false" customHeight="true" outlineLevel="0" collapsed="false">
      <c r="A11" s="137" t="s">
        <v>883</v>
      </c>
      <c r="B11" s="137"/>
      <c r="C11" s="137"/>
      <c r="D11" s="137"/>
      <c r="E11" s="137"/>
      <c r="F11" s="137"/>
      <c r="G11" s="4"/>
      <c r="H11" s="4"/>
      <c r="I11" s="4"/>
      <c r="J11" s="4"/>
      <c r="K11" s="4"/>
    </row>
    <row r="12" customFormat="false" ht="24" hidden="false" customHeight="true" outlineLevel="0" collapsed="false">
      <c r="A12" s="134" t="s">
        <v>157</v>
      </c>
      <c r="B12" s="135"/>
      <c r="C12" s="136" t="n">
        <f aca="false">Liquid_Income_Base!B16</f>
        <v>20470.757841</v>
      </c>
      <c r="D12" s="136"/>
      <c r="E12" s="134" t="s">
        <v>884</v>
      </c>
      <c r="F12" s="134"/>
      <c r="G12" s="4"/>
      <c r="H12" s="4"/>
      <c r="I12" s="4"/>
      <c r="J12" s="4"/>
      <c r="K12" s="4"/>
    </row>
    <row r="13" customFormat="false" ht="24" hidden="false" customHeight="true" outlineLevel="0" collapsed="false">
      <c r="A13" s="134" t="s">
        <v>753</v>
      </c>
      <c r="B13" s="135"/>
      <c r="C13" s="136" t="n">
        <f aca="false">Tax_Revenue_2024!D33</f>
        <v>5710.93123619</v>
      </c>
      <c r="D13" s="136"/>
      <c r="E13" s="134" t="s">
        <v>885</v>
      </c>
      <c r="F13" s="134"/>
      <c r="G13" s="4"/>
      <c r="H13" s="4"/>
      <c r="I13" s="4"/>
      <c r="J13" s="4"/>
      <c r="K13" s="4"/>
    </row>
    <row r="14" customFormat="false" ht="24" hidden="false" customHeight="true" outlineLevel="0" collapsed="false">
      <c r="A14" s="134" t="s">
        <v>755</v>
      </c>
      <c r="B14" s="135"/>
      <c r="C14" s="136" t="n">
        <f aca="false">Tax_Revenue_2024!D14</f>
        <v>73.9595975475</v>
      </c>
      <c r="D14" s="136"/>
      <c r="E14" s="134" t="s">
        <v>886</v>
      </c>
      <c r="F14" s="134"/>
      <c r="G14" s="4"/>
      <c r="H14" s="4"/>
      <c r="I14" s="4"/>
      <c r="J14" s="4"/>
      <c r="K14" s="4"/>
    </row>
    <row r="15" customFormat="false" ht="24" hidden="false" customHeight="true" outlineLevel="0" collapsed="false">
      <c r="A15" s="134" t="s">
        <v>331</v>
      </c>
      <c r="B15" s="135"/>
      <c r="C15" s="136" t="n">
        <f aca="false">-Tax_Revenue_2024!D35</f>
        <v>-73.9595975475</v>
      </c>
      <c r="D15" s="136"/>
      <c r="E15" s="134" t="s">
        <v>887</v>
      </c>
      <c r="F15" s="134"/>
      <c r="G15" s="4"/>
      <c r="H15" s="4"/>
      <c r="I15" s="4"/>
      <c r="J15" s="4"/>
      <c r="K15" s="4"/>
    </row>
    <row r="16" customFormat="false" ht="24" hidden="false" customHeight="true" outlineLevel="0" collapsed="false">
      <c r="A16" s="134" t="s">
        <v>327</v>
      </c>
      <c r="B16" s="135"/>
      <c r="C16" s="136" t="n">
        <f aca="false">Tax_Revenue_2024!D34</f>
        <v>5784.8908337375</v>
      </c>
      <c r="D16" s="136"/>
      <c r="E16" s="134" t="s">
        <v>888</v>
      </c>
      <c r="F16" s="134"/>
      <c r="G16" s="4"/>
      <c r="H16" s="4"/>
      <c r="I16" s="4"/>
      <c r="J16" s="4"/>
      <c r="K16" s="4"/>
    </row>
    <row r="17" customFormat="false" ht="24" hidden="false" customHeight="true" outlineLevel="0" collapsed="false">
      <c r="A17" s="134" t="s">
        <v>889</v>
      </c>
      <c r="B17" s="135"/>
      <c r="C17" s="136" t="n">
        <f aca="false">Tax_Revenue_2024!D13</f>
        <v>12.06373</v>
      </c>
      <c r="D17" s="136"/>
      <c r="E17" s="134" t="s">
        <v>890</v>
      </c>
      <c r="F17" s="134"/>
      <c r="G17" s="4"/>
      <c r="H17" s="4"/>
      <c r="I17" s="4"/>
      <c r="J17" s="4"/>
      <c r="K17" s="4"/>
    </row>
    <row r="18" customFormat="false" ht="24" hidden="false" customHeight="true" outlineLevel="0" collapsed="false">
      <c r="A18" s="134" t="s">
        <v>785</v>
      </c>
      <c r="B18" s="135"/>
      <c r="C18" s="136" t="n">
        <f aca="false">Deficit_Views!B43</f>
        <v>318.956061063382</v>
      </c>
      <c r="D18" s="136"/>
      <c r="E18" s="134" t="s">
        <v>891</v>
      </c>
      <c r="F18" s="134"/>
      <c r="G18" s="4"/>
      <c r="H18" s="4"/>
      <c r="I18" s="4"/>
      <c r="J18" s="4"/>
      <c r="K18" s="4"/>
    </row>
    <row r="19" customFormat="false" ht="24" hidden="false" customHeight="true" outlineLevel="0" collapsed="false">
      <c r="A19" s="134" t="s">
        <v>773</v>
      </c>
      <c r="B19" s="135"/>
      <c r="C19" s="136" t="n">
        <f aca="false">Deficit_Views!B44</f>
        <v>376.50949205</v>
      </c>
      <c r="D19" s="136"/>
      <c r="E19" s="134" t="s">
        <v>892</v>
      </c>
      <c r="F19" s="134"/>
      <c r="G19" s="4"/>
      <c r="H19" s="4"/>
      <c r="I19" s="4"/>
      <c r="J19" s="4"/>
      <c r="K19" s="4"/>
    </row>
    <row r="20" customFormat="false" ht="15" hidden="false" customHeight="true" outlineLevel="0" collapsed="false">
      <c r="A20" s="64" t="s">
        <v>782</v>
      </c>
      <c r="B20" s="138"/>
      <c r="C20" s="113" t="n">
        <f aca="false">Deficit_Views!B45</f>
        <v>0</v>
      </c>
      <c r="D20" s="113"/>
      <c r="E20" s="64" t="s">
        <v>893</v>
      </c>
      <c r="F20" s="64"/>
      <c r="G20" s="4"/>
      <c r="H20" s="4"/>
      <c r="I20" s="4"/>
      <c r="J20" s="4"/>
      <c r="K20" s="4"/>
    </row>
    <row r="21" customFormat="false" ht="15" hidden="false" customHeight="true" outlineLevel="0" collapsed="false">
      <c r="A21" s="30" t="s">
        <v>789</v>
      </c>
      <c r="B21" s="30"/>
      <c r="C21" s="30"/>
      <c r="D21" s="30"/>
      <c r="E21" s="30"/>
      <c r="F21" s="30"/>
      <c r="G21" s="4"/>
      <c r="H21" s="4"/>
      <c r="I21" s="4"/>
      <c r="J21" s="4"/>
      <c r="K21" s="4"/>
    </row>
    <row r="22" customFormat="false" ht="24" hidden="false" customHeight="true" outlineLevel="0" collapsed="false">
      <c r="A22" s="134"/>
      <c r="B22" s="135"/>
      <c r="C22" s="136"/>
      <c r="D22" s="136"/>
      <c r="E22" s="134"/>
      <c r="F22" s="134"/>
      <c r="G22" s="4"/>
      <c r="H22" s="4"/>
      <c r="I22" s="4"/>
      <c r="J22" s="4"/>
      <c r="K22" s="4"/>
    </row>
    <row r="23" customFormat="false" ht="24" hidden="false" customHeight="true" outlineLevel="0" collapsed="false">
      <c r="A23" s="139" t="s">
        <v>894</v>
      </c>
      <c r="B23" s="139"/>
      <c r="C23" s="139"/>
      <c r="D23" s="139"/>
      <c r="E23" s="139"/>
      <c r="F23" s="139"/>
      <c r="G23" s="4"/>
      <c r="H23" s="4"/>
      <c r="I23" s="4"/>
      <c r="J23" s="4"/>
      <c r="K23" s="4"/>
    </row>
    <row r="24" customFormat="false" ht="24" hidden="false" customHeight="true" outlineLevel="0" collapsed="false">
      <c r="A24" s="134" t="s">
        <v>237</v>
      </c>
      <c r="B24" s="135" t="s">
        <v>895</v>
      </c>
      <c r="C24" s="136" t="n">
        <f aca="false">Tax_Revenue_2024!D4</f>
        <v>2047.0757841</v>
      </c>
      <c r="D24" s="136" t="s">
        <v>896</v>
      </c>
      <c r="E24" s="134" t="s">
        <v>897</v>
      </c>
      <c r="F24" s="134"/>
      <c r="G24" s="4"/>
      <c r="H24" s="4"/>
      <c r="I24" s="4"/>
      <c r="J24" s="4"/>
      <c r="K24" s="4"/>
    </row>
    <row r="25" customFormat="false" ht="24" hidden="false" customHeight="true" outlineLevel="0" collapsed="false">
      <c r="A25" s="140" t="s">
        <v>244</v>
      </c>
      <c r="B25" s="141" t="s">
        <v>898</v>
      </c>
      <c r="C25" s="142" t="n">
        <f aca="false">Tax_Revenue_2024!D6</f>
        <v>1.50330594</v>
      </c>
      <c r="D25" s="142" t="s">
        <v>896</v>
      </c>
      <c r="E25" s="140" t="s">
        <v>899</v>
      </c>
      <c r="F25" s="140"/>
      <c r="G25" s="4"/>
      <c r="H25" s="4"/>
      <c r="I25" s="4"/>
      <c r="J25" s="4"/>
      <c r="K25" s="4"/>
    </row>
    <row r="26" customFormat="false" ht="24" hidden="false" customHeight="true" outlineLevel="0" collapsed="false">
      <c r="A26" s="134" t="s">
        <v>217</v>
      </c>
      <c r="B26" s="135" t="s">
        <v>900</v>
      </c>
      <c r="C26" s="136" t="n">
        <f aca="false">Tax_Revenue_2024!D7</f>
        <v>28.2709956</v>
      </c>
      <c r="D26" s="136" t="s">
        <v>896</v>
      </c>
      <c r="E26" s="134" t="s">
        <v>901</v>
      </c>
      <c r="F26" s="134"/>
      <c r="G26" s="4"/>
      <c r="H26" s="4"/>
      <c r="I26" s="4"/>
      <c r="J26" s="4"/>
      <c r="K26" s="4"/>
    </row>
    <row r="27" customFormat="false" ht="24" hidden="false" customHeight="true" outlineLevel="0" collapsed="false">
      <c r="A27" s="134" t="s">
        <v>252</v>
      </c>
      <c r="B27" s="135" t="s">
        <v>900</v>
      </c>
      <c r="C27" s="136" t="n">
        <f aca="false">Tax_Revenue_2024!D9</f>
        <v>142.920192789</v>
      </c>
      <c r="D27" s="136" t="s">
        <v>896</v>
      </c>
      <c r="E27" s="134" t="s">
        <v>902</v>
      </c>
      <c r="F27" s="134"/>
      <c r="G27" s="4"/>
      <c r="H27" s="4"/>
      <c r="I27" s="4"/>
      <c r="J27" s="4"/>
      <c r="K27" s="4"/>
    </row>
    <row r="28" customFormat="false" ht="24" hidden="false" customHeight="true" outlineLevel="0" collapsed="false">
      <c r="A28" s="134" t="s">
        <v>255</v>
      </c>
      <c r="B28" s="135" t="s">
        <v>903</v>
      </c>
      <c r="C28" s="136" t="n">
        <f aca="false">Tax_Revenue_2024!D10</f>
        <v>3.307053161</v>
      </c>
      <c r="D28" s="136" t="s">
        <v>896</v>
      </c>
      <c r="E28" s="134" t="s">
        <v>256</v>
      </c>
      <c r="F28" s="134"/>
      <c r="G28" s="4"/>
      <c r="H28" s="4"/>
      <c r="I28" s="4"/>
      <c r="J28" s="4"/>
      <c r="K28" s="4"/>
    </row>
    <row r="29" customFormat="false" ht="24" hidden="false" customHeight="true" outlineLevel="0" collapsed="false">
      <c r="A29" s="134" t="s">
        <v>904</v>
      </c>
      <c r="B29" s="135" t="s">
        <v>905</v>
      </c>
      <c r="C29" s="136" t="n">
        <f aca="false">Tax_Revenue_2024!D11</f>
        <v>7.95</v>
      </c>
      <c r="D29" s="136" t="s">
        <v>896</v>
      </c>
      <c r="E29" s="134" t="s">
        <v>906</v>
      </c>
      <c r="F29" s="134"/>
      <c r="G29" s="4"/>
      <c r="H29" s="4"/>
      <c r="I29" s="4"/>
      <c r="J29" s="4"/>
      <c r="K29" s="4"/>
    </row>
    <row r="30" customFormat="false" ht="24" hidden="false" customHeight="true" outlineLevel="0" collapsed="false">
      <c r="A30" s="134" t="s">
        <v>261</v>
      </c>
      <c r="B30" s="135" t="s">
        <v>907</v>
      </c>
      <c r="C30" s="136" t="n">
        <f aca="false">Tax_Revenue_2024!D12</f>
        <v>151.4038</v>
      </c>
      <c r="D30" s="136" t="s">
        <v>896</v>
      </c>
      <c r="E30" s="134" t="s">
        <v>262</v>
      </c>
      <c r="F30" s="134"/>
      <c r="G30" s="4"/>
      <c r="H30" s="4"/>
      <c r="I30" s="4"/>
      <c r="J30" s="4"/>
      <c r="K30" s="4"/>
    </row>
    <row r="31" customFormat="false" ht="24" hidden="false" customHeight="true" outlineLevel="0" collapsed="false">
      <c r="A31" s="134" t="s">
        <v>264</v>
      </c>
      <c r="B31" s="135" t="s">
        <v>908</v>
      </c>
      <c r="C31" s="136" t="n">
        <f aca="false">Tax_Revenue_2024!D13</f>
        <v>12.06373</v>
      </c>
      <c r="D31" s="136" t="s">
        <v>896</v>
      </c>
      <c r="E31" s="134" t="s">
        <v>909</v>
      </c>
      <c r="F31" s="134"/>
      <c r="G31" s="4"/>
      <c r="H31" s="4"/>
      <c r="I31" s="4"/>
      <c r="J31" s="4"/>
      <c r="K31" s="4"/>
    </row>
    <row r="32" customFormat="false" ht="24" hidden="false" customHeight="true" outlineLevel="0" collapsed="false">
      <c r="A32" s="134" t="s">
        <v>14</v>
      </c>
      <c r="B32" s="135" t="s">
        <v>910</v>
      </c>
      <c r="C32" s="136" t="n">
        <f aca="false">Tax_Revenue_2024!D14</f>
        <v>73.9595975475</v>
      </c>
      <c r="D32" s="136" t="s">
        <v>911</v>
      </c>
      <c r="E32" s="134" t="s">
        <v>912</v>
      </c>
      <c r="F32" s="134"/>
      <c r="G32" s="4"/>
      <c r="H32" s="4"/>
      <c r="I32" s="4"/>
      <c r="J32" s="4"/>
      <c r="K32" s="4"/>
    </row>
    <row r="33" customFormat="false" ht="24" hidden="false" customHeight="true" outlineLevel="0" collapsed="false">
      <c r="A33" s="134" t="s">
        <v>913</v>
      </c>
      <c r="B33" s="135" t="s">
        <v>914</v>
      </c>
      <c r="C33" s="136" t="n">
        <f aca="false">Tax_Revenue_2024!D16</f>
        <v>2232.929</v>
      </c>
      <c r="D33" s="136" t="s">
        <v>896</v>
      </c>
      <c r="E33" s="134" t="s">
        <v>915</v>
      </c>
      <c r="F33" s="134"/>
      <c r="G33" s="4"/>
      <c r="H33" s="4"/>
      <c r="I33" s="4"/>
      <c r="J33" s="4"/>
      <c r="K33" s="4"/>
    </row>
    <row r="34" customFormat="false" ht="24" hidden="false" customHeight="true" outlineLevel="0" collapsed="false">
      <c r="A34" s="134" t="s">
        <v>160</v>
      </c>
      <c r="B34" s="135" t="s">
        <v>916</v>
      </c>
      <c r="C34" s="136" t="n">
        <f aca="false">Tax_Revenue_2024!D19</f>
        <v>253</v>
      </c>
      <c r="D34" s="136" t="s">
        <v>896</v>
      </c>
      <c r="E34" s="134" t="s">
        <v>917</v>
      </c>
      <c r="F34" s="134"/>
      <c r="G34" s="4"/>
      <c r="H34" s="4"/>
      <c r="I34" s="4"/>
      <c r="J34" s="4"/>
      <c r="K34" s="4"/>
    </row>
    <row r="35" customFormat="false" ht="24" hidden="false" customHeight="true" outlineLevel="0" collapsed="false">
      <c r="A35" s="134" t="s">
        <v>280</v>
      </c>
      <c r="B35" s="135" t="s">
        <v>918</v>
      </c>
      <c r="C35" s="136" t="n">
        <f aca="false">Tax_Revenue_2024!D18</f>
        <v>16.84285</v>
      </c>
      <c r="D35" s="136" t="s">
        <v>896</v>
      </c>
      <c r="E35" s="134" t="s">
        <v>919</v>
      </c>
      <c r="F35" s="134"/>
      <c r="G35" s="4"/>
      <c r="H35" s="4"/>
      <c r="I35" s="4"/>
      <c r="J35" s="4"/>
      <c r="K35" s="4"/>
    </row>
    <row r="36" customFormat="false" ht="24" hidden="false" customHeight="true" outlineLevel="0" collapsed="false">
      <c r="A36" s="134" t="s">
        <v>249</v>
      </c>
      <c r="B36" s="135" t="s">
        <v>920</v>
      </c>
      <c r="C36" s="136" t="n">
        <f aca="false">Tax_Revenue_2024!D8</f>
        <v>33.003</v>
      </c>
      <c r="D36" s="136" t="s">
        <v>896</v>
      </c>
      <c r="E36" s="134" t="s">
        <v>921</v>
      </c>
      <c r="F36" s="134"/>
      <c r="G36" s="4"/>
      <c r="H36" s="4"/>
      <c r="I36" s="4"/>
      <c r="J36" s="4"/>
      <c r="K36" s="4"/>
    </row>
    <row r="37" customFormat="false" ht="15" hidden="false" customHeight="true" outlineLevel="0" collapsed="false">
      <c r="A37" s="4" t="s">
        <v>354</v>
      </c>
      <c r="B37" s="50" t="s">
        <v>898</v>
      </c>
      <c r="C37" s="107" t="n">
        <f aca="false">Equity_Compensation!D6</f>
        <v>11.001</v>
      </c>
      <c r="D37" s="107" t="s">
        <v>896</v>
      </c>
      <c r="E37" s="4" t="s">
        <v>922</v>
      </c>
      <c r="F37" s="4"/>
      <c r="G37" s="4"/>
      <c r="H37" s="4"/>
      <c r="I37" s="4"/>
      <c r="J37" s="4"/>
      <c r="K37" s="4"/>
    </row>
    <row r="38" customFormat="false" ht="42" hidden="false" customHeight="true" outlineLevel="0" collapsed="false">
      <c r="A38" s="24" t="s">
        <v>923</v>
      </c>
      <c r="B38" s="24"/>
      <c r="C38" s="24"/>
      <c r="D38" s="24"/>
      <c r="E38" s="24"/>
      <c r="F38" s="24"/>
      <c r="G38" s="4"/>
      <c r="H38" s="4"/>
      <c r="I38" s="4"/>
      <c r="J38" s="4"/>
      <c r="K38" s="4"/>
    </row>
    <row r="39" customFormat="false" ht="15" hidden="false" customHeight="true" outlineLevel="0" collapsed="false">
      <c r="A39" s="4" t="s">
        <v>764</v>
      </c>
      <c r="B39" s="50" t="s">
        <v>924</v>
      </c>
      <c r="C39" s="107" t="n">
        <f aca="false">-Deficit_Views!B22</f>
        <v>-10</v>
      </c>
      <c r="D39" s="107" t="s">
        <v>925</v>
      </c>
      <c r="E39" s="4" t="s">
        <v>926</v>
      </c>
      <c r="F39" s="4"/>
      <c r="G39" s="4"/>
      <c r="H39" s="4"/>
      <c r="I39" s="4"/>
      <c r="J39" s="4"/>
      <c r="K39" s="4"/>
    </row>
    <row r="40" customFormat="false" ht="23.25" hidden="false" customHeight="true" outlineLevel="0" collapsed="false">
      <c r="A40" s="4" t="s">
        <v>285</v>
      </c>
      <c r="B40" s="4" t="s">
        <v>927</v>
      </c>
      <c r="C40" s="72" t="n">
        <f aca="false">Tax_Revenue_2024!D20</f>
        <v>47.7145046</v>
      </c>
      <c r="D40" s="4" t="s">
        <v>896</v>
      </c>
      <c r="E40" s="4" t="s">
        <v>928</v>
      </c>
      <c r="F40" s="4"/>
      <c r="G40" s="4"/>
      <c r="H40" s="4"/>
      <c r="I40" s="4"/>
      <c r="J40" s="4"/>
      <c r="K40" s="4"/>
    </row>
    <row r="41" customFormat="false" ht="23.25" hidden="false" customHeight="true" outlineLevel="0" collapsed="false">
      <c r="A41" s="4" t="s">
        <v>799</v>
      </c>
      <c r="B41" s="4" t="s">
        <v>929</v>
      </c>
      <c r="C41" s="72" t="n">
        <f aca="false">Total_Government_Revenue!B19</f>
        <v>6</v>
      </c>
      <c r="D41" s="4" t="s">
        <v>930</v>
      </c>
      <c r="E41" s="4" t="s">
        <v>931</v>
      </c>
      <c r="F41" s="4"/>
      <c r="G41" s="4"/>
      <c r="H41" s="4"/>
      <c r="I41" s="4"/>
      <c r="J41" s="4"/>
      <c r="K41" s="4"/>
    </row>
    <row r="42" customFormat="false" ht="23.25" hidden="false" customHeight="true" outlineLevel="0" collapsed="false">
      <c r="A42" s="4" t="s">
        <v>288</v>
      </c>
      <c r="B42" s="4" t="s">
        <v>932</v>
      </c>
      <c r="C42" s="72" t="n">
        <f aca="false">Offshore_Capital_Duty!F12</f>
        <v>19.2</v>
      </c>
      <c r="D42" s="4" t="s">
        <v>896</v>
      </c>
      <c r="E42" s="4" t="s">
        <v>933</v>
      </c>
      <c r="F42" s="4"/>
      <c r="G42" s="4"/>
      <c r="H42" s="4"/>
      <c r="I42" s="4"/>
      <c r="J42" s="4"/>
      <c r="K42" s="4"/>
    </row>
    <row r="43" customFormat="false" ht="23.25" hidden="false" customHeight="true" outlineLevel="0" collapsed="false">
      <c r="A43" s="4" t="s">
        <v>934</v>
      </c>
      <c r="B43" s="4" t="s">
        <v>935</v>
      </c>
      <c r="C43" s="72" t="n">
        <f aca="false">High_Wealth_Compliance!F9</f>
        <v>38</v>
      </c>
      <c r="D43" s="4" t="s">
        <v>896</v>
      </c>
      <c r="E43" s="4" t="s">
        <v>936</v>
      </c>
      <c r="F43" s="4"/>
      <c r="G43" s="4"/>
      <c r="H43" s="4"/>
      <c r="I43" s="4"/>
      <c r="J43" s="4"/>
      <c r="K43" s="4"/>
    </row>
    <row r="44" customFormat="false" ht="15" hidden="false" customHeight="true" outlineLevel="0" collapsed="false">
      <c r="A44" s="4" t="s">
        <v>294</v>
      </c>
      <c r="B44" s="4" t="s">
        <v>937</v>
      </c>
      <c r="C44" s="72" t="n">
        <v>-4</v>
      </c>
      <c r="D44" s="4" t="s">
        <v>938</v>
      </c>
      <c r="E44" s="4" t="s">
        <v>939</v>
      </c>
      <c r="F44" s="4"/>
      <c r="G44" s="4"/>
      <c r="H44" s="4"/>
      <c r="I44" s="4"/>
      <c r="J44" s="4"/>
      <c r="K44" s="4"/>
    </row>
    <row r="45" customFormat="false" ht="15" hidden="false" customHeight="true" outlineLevel="0" collapsed="false">
      <c r="A45" s="4" t="s">
        <v>940</v>
      </c>
      <c r="B45" s="4" t="s">
        <v>941</v>
      </c>
      <c r="C45" s="72" t="n">
        <f aca="false">Budget_0_4_10!D23</f>
        <v>1079.53101585632</v>
      </c>
      <c r="D45" s="4" t="s">
        <v>930</v>
      </c>
      <c r="E45" s="4" t="s">
        <v>942</v>
      </c>
      <c r="F45" s="4"/>
      <c r="G45" s="4"/>
      <c r="H45" s="4"/>
      <c r="I45" s="4"/>
      <c r="J45" s="4"/>
      <c r="K45" s="4"/>
    </row>
    <row r="46" customFormat="false" ht="23.25" hidden="false" customHeight="true" outlineLevel="0" collapsed="false">
      <c r="A46" s="4" t="s">
        <v>943</v>
      </c>
      <c r="B46" s="4" t="s">
        <v>944</v>
      </c>
      <c r="C46" s="143" t="n">
        <f aca="false">Cost_Savings_Program!B27</f>
        <v>164</v>
      </c>
      <c r="D46" s="4" t="s">
        <v>945</v>
      </c>
      <c r="E46" s="4" t="s">
        <v>946</v>
      </c>
      <c r="F46" s="4"/>
      <c r="G46" s="4"/>
      <c r="H46" s="4"/>
      <c r="I46" s="4"/>
      <c r="J46" s="4"/>
      <c r="K46" s="4"/>
    </row>
    <row r="47" customFormat="false" ht="23.25" hidden="false" customHeight="true" outlineLevel="0" collapsed="false">
      <c r="A47" s="4" t="s">
        <v>947</v>
      </c>
      <c r="B47" s="4" t="s">
        <v>948</v>
      </c>
      <c r="C47" s="50" t="n">
        <f aca="false">Deficit_Views!B18</f>
        <v>3460</v>
      </c>
      <c r="D47" s="4" t="s">
        <v>930</v>
      </c>
      <c r="E47" s="4" t="s">
        <v>949</v>
      </c>
      <c r="F47" s="4"/>
      <c r="G47" s="4"/>
      <c r="H47" s="4"/>
      <c r="I47" s="4"/>
      <c r="J47" s="4"/>
      <c r="K47" s="4"/>
    </row>
    <row r="48" customFormat="false" ht="23.25" hidden="false" customHeight="true" outlineLevel="0" collapsed="false">
      <c r="A48" s="144" t="s">
        <v>940</v>
      </c>
      <c r="B48" s="144" t="s">
        <v>950</v>
      </c>
      <c r="C48" s="145" t="n">
        <f aca="false">Budget_0_4_10!D23</f>
        <v>1079.53101585632</v>
      </c>
      <c r="D48" s="144" t="s">
        <v>930</v>
      </c>
      <c r="E48" s="144" t="s">
        <v>951</v>
      </c>
      <c r="F48" s="144"/>
      <c r="G48" s="4"/>
      <c r="H48" s="4"/>
      <c r="I48" s="4"/>
      <c r="J48" s="4"/>
      <c r="K48" s="4"/>
    </row>
    <row r="49" customFormat="false" ht="15" hidden="false" customHeight="true" outlineLevel="0" collapsed="false">
      <c r="A49" s="4" t="s">
        <v>952</v>
      </c>
      <c r="B49" s="4" t="s">
        <v>953</v>
      </c>
      <c r="C49" s="72" t="n">
        <f aca="false">Budget_0_4_10!B13</f>
        <v>205.67978658312</v>
      </c>
      <c r="D49" s="4" t="s">
        <v>954</v>
      </c>
      <c r="E49" s="4" t="s">
        <v>955</v>
      </c>
      <c r="F49" s="4"/>
      <c r="G49" s="4"/>
      <c r="H49" s="4"/>
      <c r="I49" s="4"/>
      <c r="J49" s="4"/>
      <c r="K49" s="4"/>
    </row>
    <row r="50" customFormat="false" ht="15" hidden="false" customHeight="true" outlineLevel="0" collapsed="false">
      <c r="A50" s="4" t="s">
        <v>952</v>
      </c>
      <c r="B50" s="4" t="s">
        <v>956</v>
      </c>
      <c r="C50" s="72" t="n">
        <f aca="false">Budget_0_4_10!C13</f>
        <v>217.894681279245</v>
      </c>
      <c r="D50" s="4" t="s">
        <v>954</v>
      </c>
      <c r="E50" s="4" t="s">
        <v>957</v>
      </c>
      <c r="F50" s="4"/>
      <c r="G50" s="4"/>
      <c r="H50" s="4"/>
      <c r="I50" s="4"/>
      <c r="J50" s="4"/>
      <c r="K50" s="4"/>
    </row>
    <row r="51" customFormat="false" ht="15" hidden="false" customHeight="true" outlineLevel="0" collapsed="false">
      <c r="A51" s="4" t="s">
        <v>952</v>
      </c>
      <c r="B51" s="4" t="s">
        <v>958</v>
      </c>
      <c r="C51" s="72" t="n">
        <f aca="false">Budget_0_4_10!D13</f>
        <v>181.224335805155</v>
      </c>
      <c r="D51" s="4" t="s">
        <v>954</v>
      </c>
      <c r="E51" s="4" t="s">
        <v>959</v>
      </c>
      <c r="F51" s="4"/>
      <c r="G51" s="4"/>
      <c r="H51" s="4"/>
      <c r="I51" s="4"/>
      <c r="J51" s="4"/>
      <c r="K51" s="4"/>
    </row>
    <row r="52" customFormat="false" ht="23.25" hidden="false" customHeight="true" outlineLevel="0" collapsed="false">
      <c r="A52" s="4" t="s">
        <v>960</v>
      </c>
      <c r="B52" s="4" t="s">
        <v>961</v>
      </c>
      <c r="C52" s="47" t="n">
        <f aca="false">SS_Year_0_4_10!D22</f>
        <v>1720.47738596024</v>
      </c>
      <c r="D52" s="4" t="s">
        <v>962</v>
      </c>
      <c r="E52" s="4" t="s">
        <v>963</v>
      </c>
      <c r="F52" s="4"/>
      <c r="G52" s="4"/>
      <c r="H52" s="4"/>
      <c r="I52" s="4"/>
      <c r="J52" s="4"/>
      <c r="K52" s="4"/>
    </row>
    <row r="53" customFormat="false" ht="23.25" hidden="false" customHeight="true" outlineLevel="0" collapsed="false">
      <c r="A53" s="4" t="s">
        <v>964</v>
      </c>
      <c r="B53" s="4" t="s">
        <v>965</v>
      </c>
      <c r="C53" s="4" t="n">
        <v>2700</v>
      </c>
      <c r="D53" s="4" t="s">
        <v>966</v>
      </c>
      <c r="E53" s="4" t="s">
        <v>967</v>
      </c>
      <c r="F53" s="4"/>
      <c r="G53" s="4"/>
      <c r="H53" s="4"/>
      <c r="I53" s="4"/>
      <c r="J53" s="4"/>
      <c r="K53" s="4"/>
    </row>
    <row r="54" customFormat="false" ht="15" hidden="false" customHeight="true" outlineLevel="0" collapsed="false">
      <c r="A54" s="4" t="s">
        <v>968</v>
      </c>
      <c r="B54" s="4" t="s">
        <v>969</v>
      </c>
      <c r="C54" s="4" t="n">
        <v>120</v>
      </c>
      <c r="D54" s="4" t="s">
        <v>966</v>
      </c>
      <c r="E54" s="4" t="s">
        <v>970</v>
      </c>
      <c r="F54" s="4"/>
      <c r="G54" s="4"/>
      <c r="H54" s="4"/>
      <c r="I54" s="4"/>
      <c r="J54" s="4"/>
      <c r="K54" s="4"/>
    </row>
    <row r="55" customFormat="false" ht="15" hidden="false" customHeight="true" outlineLevel="0" collapsed="false">
      <c r="A55" s="4" t="s">
        <v>971</v>
      </c>
      <c r="B55" s="4" t="s">
        <v>953</v>
      </c>
      <c r="C55" s="72" t="n">
        <f aca="false">Budget_0_4_10!B13</f>
        <v>205.67978658312</v>
      </c>
      <c r="D55" s="4" t="s">
        <v>896</v>
      </c>
      <c r="E55" s="4" t="s">
        <v>972</v>
      </c>
      <c r="F55" s="4"/>
      <c r="G55" s="4"/>
      <c r="H55" s="4"/>
      <c r="I55" s="4"/>
      <c r="J55" s="4"/>
      <c r="K55" s="4"/>
    </row>
    <row r="56" customFormat="false" ht="15" hidden="false" customHeight="true" outlineLevel="0" collapsed="false">
      <c r="A56" s="4" t="s">
        <v>973</v>
      </c>
      <c r="B56" s="4" t="s">
        <v>953</v>
      </c>
      <c r="C56" s="72" t="n">
        <f aca="false">Budget_0_4_10!B15</f>
        <v>205.67978658312</v>
      </c>
      <c r="D56" s="4" t="s">
        <v>896</v>
      </c>
      <c r="E56" s="4" t="s">
        <v>974</v>
      </c>
      <c r="F56" s="4"/>
      <c r="G56" s="4"/>
      <c r="H56" s="4"/>
      <c r="I56" s="4"/>
      <c r="J56" s="4"/>
      <c r="K56" s="4"/>
    </row>
    <row r="57" customFormat="false" ht="15" hidden="false" customHeight="true" outlineLevel="0" collapsed="false">
      <c r="A57" s="4" t="s">
        <v>975</v>
      </c>
      <c r="B57" s="4" t="s">
        <v>953</v>
      </c>
      <c r="C57" s="72" t="n">
        <f aca="false">Budget_0_4_10!B17</f>
        <v>290.72021341688</v>
      </c>
      <c r="D57" s="4" t="s">
        <v>896</v>
      </c>
      <c r="E57" s="4" t="s">
        <v>976</v>
      </c>
      <c r="F57" s="4"/>
      <c r="G57" s="4"/>
      <c r="H57" s="4"/>
      <c r="I57" s="4"/>
      <c r="J57" s="4"/>
      <c r="K57" s="4"/>
    </row>
    <row r="58" customFormat="false" ht="15" hidden="false" customHeight="true" outlineLevel="0" collapsed="false">
      <c r="A58" s="4" t="s">
        <v>977</v>
      </c>
      <c r="B58" s="4" t="s">
        <v>953</v>
      </c>
      <c r="C58" s="47" t="n">
        <f aca="false">Deficit_Views!B64</f>
        <v>244.50949205</v>
      </c>
      <c r="D58" s="4" t="s">
        <v>896</v>
      </c>
      <c r="E58" s="4" t="s">
        <v>978</v>
      </c>
      <c r="F58" s="4"/>
      <c r="G58" s="4"/>
      <c r="H58" s="4"/>
      <c r="I58" s="4"/>
      <c r="J58" s="4"/>
      <c r="K58" s="4"/>
    </row>
    <row r="59" customFormat="false" ht="15" hidden="false" customHeight="true" outlineLevel="0" collapsed="false">
      <c r="A59" s="4" t="s">
        <v>979</v>
      </c>
      <c r="B59" s="4" t="s">
        <v>953</v>
      </c>
      <c r="C59" s="47" t="n">
        <f aca="false">Deficit_Views!B65</f>
        <v>122.254746025</v>
      </c>
      <c r="D59" s="4" t="s">
        <v>896</v>
      </c>
      <c r="E59" s="4" t="s">
        <v>978</v>
      </c>
      <c r="F59" s="4"/>
      <c r="G59" s="4"/>
      <c r="H59" s="4"/>
      <c r="I59" s="4"/>
      <c r="J59" s="4"/>
      <c r="K59" s="4"/>
    </row>
    <row r="60" customFormat="false" ht="23.25" hidden="false" customHeight="true" outlineLevel="0" collapsed="false">
      <c r="A60" s="4" t="s">
        <v>980</v>
      </c>
      <c r="B60" s="4" t="s">
        <v>953</v>
      </c>
      <c r="C60" s="143" t="n">
        <f aca="false">Noncitizen_SS_Model!B17</f>
        <v>52.40796418688</v>
      </c>
      <c r="D60" s="4" t="s">
        <v>896</v>
      </c>
      <c r="E60" s="4" t="s">
        <v>981</v>
      </c>
      <c r="F60" s="4"/>
      <c r="G60" s="4"/>
      <c r="H60" s="4"/>
      <c r="I60" s="4"/>
      <c r="J60" s="4"/>
      <c r="K60" s="4"/>
    </row>
    <row r="61" customFormat="false" ht="15" hidden="false" customHeight="true" outlineLevel="0" collapsed="false">
      <c r="A61" s="4" t="s">
        <v>982</v>
      </c>
      <c r="B61" s="4" t="s">
        <v>953</v>
      </c>
      <c r="C61" s="143" t="n">
        <f aca="false">Noncitizen_SS_Model!B21</f>
        <v>18</v>
      </c>
      <c r="D61" s="4" t="s">
        <v>983</v>
      </c>
      <c r="E61" s="4" t="s">
        <v>984</v>
      </c>
      <c r="F61" s="4"/>
      <c r="G61" s="4"/>
      <c r="H61" s="4"/>
      <c r="I61" s="4"/>
      <c r="J61" s="4"/>
      <c r="K61" s="4"/>
    </row>
    <row r="62" customFormat="false" ht="15" hidden="false" customHeight="true" outlineLevel="0" collapsed="false">
      <c r="A62" s="4" t="s">
        <v>985</v>
      </c>
      <c r="B62" s="4" t="s">
        <v>953</v>
      </c>
      <c r="C62" s="143" t="n">
        <f aca="false">Noncitizen_SS_Model!B22</f>
        <v>2.22138995628</v>
      </c>
      <c r="D62" s="4" t="s">
        <v>986</v>
      </c>
      <c r="E62" s="4" t="s">
        <v>987</v>
      </c>
      <c r="F62" s="4"/>
      <c r="G62" s="4"/>
      <c r="H62" s="4"/>
      <c r="I62" s="4"/>
      <c r="J62" s="4"/>
      <c r="K62" s="4"/>
    </row>
    <row r="63" customFormat="false" ht="15" hidden="false" customHeight="true" outlineLevel="0" collapsed="false">
      <c r="A63" s="4" t="s">
        <v>988</v>
      </c>
      <c r="B63" s="4" t="s">
        <v>953</v>
      </c>
      <c r="C63" s="143" t="n">
        <f aca="false">Noncitizen_SS_Model!B34</f>
        <v>217.67978658312</v>
      </c>
      <c r="D63" s="4" t="s">
        <v>896</v>
      </c>
      <c r="E63" s="4" t="s">
        <v>989</v>
      </c>
      <c r="F63" s="4"/>
      <c r="G63" s="4"/>
      <c r="H63" s="4"/>
      <c r="I63" s="4"/>
      <c r="J63" s="4"/>
      <c r="K63" s="4"/>
    </row>
    <row r="64" customFormat="false" ht="15" hidden="false" customHeight="true" outlineLevel="0" collapsed="false">
      <c r="A64" s="4" t="s">
        <v>990</v>
      </c>
      <c r="B64" s="4" t="s">
        <v>953</v>
      </c>
      <c r="C64" s="143" t="n">
        <f aca="false">Noncitizen_SS_Model!B35</f>
        <v>217.67978658312</v>
      </c>
      <c r="D64" s="4" t="s">
        <v>896</v>
      </c>
      <c r="E64" s="4" t="s">
        <v>991</v>
      </c>
      <c r="F64" s="4"/>
      <c r="G64" s="4"/>
      <c r="H64" s="4"/>
      <c r="I64" s="4"/>
      <c r="J64" s="4"/>
      <c r="K64" s="4"/>
    </row>
    <row r="65" customFormat="false" ht="15" hidden="false" customHeight="true" outlineLevel="0" collapsed="false">
      <c r="A65" s="4" t="s">
        <v>992</v>
      </c>
      <c r="B65" s="4" t="s">
        <v>953</v>
      </c>
      <c r="C65" s="143" t="n">
        <f aca="false">Noncitizen_SS_Model!B37</f>
        <v>26.8297054668801</v>
      </c>
      <c r="D65" s="4" t="s">
        <v>896</v>
      </c>
      <c r="E65" s="4" t="s">
        <v>993</v>
      </c>
      <c r="F65" s="4"/>
      <c r="G65" s="4"/>
      <c r="H65" s="4"/>
      <c r="I65" s="4"/>
      <c r="J65" s="4"/>
      <c r="K65" s="4"/>
    </row>
    <row r="66" customFormat="false" ht="15" hidden="false" customHeight="true" outlineLevel="0" collapsed="false">
      <c r="A66" s="4" t="s">
        <v>940</v>
      </c>
      <c r="B66" s="4" t="s">
        <v>953</v>
      </c>
      <c r="C66" s="143" t="n">
        <f aca="false">Noncitizen_SS_Model!B40</f>
        <v>183.985766530262</v>
      </c>
      <c r="D66" s="4" t="s">
        <v>896</v>
      </c>
      <c r="E66" s="4" t="s">
        <v>994</v>
      </c>
      <c r="F66" s="4"/>
      <c r="G66" s="4"/>
      <c r="H66" s="4"/>
      <c r="I66" s="4"/>
      <c r="J66" s="4"/>
      <c r="K66" s="4"/>
    </row>
    <row r="67" customFormat="false" ht="23.25" hidden="false" customHeight="true" outlineLevel="0" collapsed="false">
      <c r="A67" s="4" t="s">
        <v>995</v>
      </c>
      <c r="B67" s="4" t="s">
        <v>996</v>
      </c>
      <c r="C67" s="4" t="n">
        <v>0.0073</v>
      </c>
      <c r="D67" s="4" t="s">
        <v>966</v>
      </c>
      <c r="E67" s="4" t="s">
        <v>997</v>
      </c>
      <c r="F67" s="4"/>
      <c r="G67" s="4"/>
      <c r="H67" s="4"/>
      <c r="I67" s="4"/>
      <c r="J67" s="4"/>
      <c r="K67" s="4"/>
    </row>
    <row r="68" customFormat="false" ht="15" hidden="false" customHeight="true" outlineLevel="0" collapsed="false">
      <c r="A68" s="4" t="s">
        <v>823</v>
      </c>
      <c r="B68" s="4" t="s">
        <v>998</v>
      </c>
      <c r="C68" s="47" t="n">
        <f aca="false">National_Continuity!B6</f>
        <v>68000</v>
      </c>
      <c r="D68" s="4" t="s">
        <v>983</v>
      </c>
      <c r="E68" s="4" t="s">
        <v>999</v>
      </c>
      <c r="F68" s="4"/>
      <c r="G68" s="4"/>
      <c r="H68" s="4"/>
      <c r="I68" s="4"/>
      <c r="J68" s="4"/>
      <c r="K68" s="4"/>
    </row>
    <row r="69" customFormat="false" ht="15" hidden="false" customHeight="true" outlineLevel="0" collapsed="false">
      <c r="A69" s="4" t="s">
        <v>1000</v>
      </c>
      <c r="B69" s="4" t="s">
        <v>953</v>
      </c>
      <c r="C69" s="72" t="n">
        <f aca="false">Budget_0_4_10!B14</f>
        <v>496.4</v>
      </c>
      <c r="D69" s="4" t="s">
        <v>896</v>
      </c>
      <c r="E69" s="4" t="s">
        <v>1001</v>
      </c>
      <c r="F69" s="4"/>
      <c r="G69" s="4"/>
      <c r="H69" s="4"/>
      <c r="I69" s="4"/>
      <c r="J69" s="4"/>
      <c r="K69" s="4"/>
    </row>
    <row r="70" customFormat="false" ht="15" hidden="false" customHeight="true" outlineLevel="0" collapsed="false">
      <c r="A70" s="4" t="s">
        <v>793</v>
      </c>
      <c r="B70" s="4" t="s">
        <v>953</v>
      </c>
      <c r="C70" s="72" t="n">
        <f aca="false">Budget_0_4_10!B15</f>
        <v>205.67978658312</v>
      </c>
      <c r="D70" s="4" t="s">
        <v>896</v>
      </c>
      <c r="E70" s="4" t="s">
        <v>1002</v>
      </c>
      <c r="F70" s="4"/>
      <c r="G70" s="4"/>
      <c r="H70" s="4"/>
      <c r="I70" s="4"/>
      <c r="J70" s="4"/>
      <c r="K70" s="4"/>
    </row>
    <row r="71" customFormat="false" ht="15" hidden="false" customHeight="true" outlineLevel="0" collapsed="false">
      <c r="A71" s="4" t="s">
        <v>808</v>
      </c>
      <c r="B71" s="4" t="s">
        <v>953</v>
      </c>
      <c r="C71" s="72" t="n">
        <f aca="false">Budget_0_4_10!B17</f>
        <v>290.72021341688</v>
      </c>
      <c r="D71" s="4" t="s">
        <v>896</v>
      </c>
      <c r="E71" s="4" t="s">
        <v>1003</v>
      </c>
      <c r="F71" s="4"/>
      <c r="G71" s="4"/>
      <c r="H71" s="4"/>
      <c r="I71" s="4"/>
      <c r="J71" s="4"/>
      <c r="K71" s="4"/>
    </row>
    <row r="72" customFormat="false" ht="15" hidden="false" customHeight="true" outlineLevel="0" collapsed="false">
      <c r="A72" s="4" t="s">
        <v>973</v>
      </c>
      <c r="B72" s="4" t="s">
        <v>953</v>
      </c>
      <c r="C72" s="4" t="n">
        <v>0</v>
      </c>
      <c r="D72" s="4" t="s">
        <v>1004</v>
      </c>
      <c r="E72" s="4" t="s">
        <v>1005</v>
      </c>
      <c r="F72" s="4"/>
      <c r="G72" s="4"/>
      <c r="H72" s="4"/>
      <c r="I72" s="4"/>
      <c r="J72" s="4"/>
      <c r="K72" s="4"/>
    </row>
    <row r="73" customFormat="false" ht="15" hidden="false" customHeight="true" outlineLevel="0" collapsed="false">
      <c r="A73" s="4" t="s">
        <v>816</v>
      </c>
      <c r="B73" s="4" t="s">
        <v>953</v>
      </c>
      <c r="C73" s="47" t="n">
        <f aca="false">National_Continuity!B32</f>
        <v>122.254746025</v>
      </c>
      <c r="D73" s="4" t="s">
        <v>896</v>
      </c>
      <c r="E73" s="4" t="s">
        <v>1006</v>
      </c>
      <c r="F73" s="4"/>
      <c r="G73" s="4"/>
      <c r="H73" s="4"/>
      <c r="I73" s="4"/>
      <c r="J73" s="4"/>
      <c r="K73" s="4"/>
    </row>
    <row r="74" customFormat="false" ht="15" hidden="false" customHeight="true" outlineLevel="0" collapsed="false">
      <c r="A74" s="4" t="s">
        <v>1007</v>
      </c>
      <c r="B74" s="4" t="s">
        <v>953</v>
      </c>
      <c r="C74" s="47" t="n">
        <f aca="false">National_Continuity!B33</f>
        <v>122.254746025</v>
      </c>
      <c r="D74" s="4" t="s">
        <v>896</v>
      </c>
      <c r="E74" s="4" t="s">
        <v>1006</v>
      </c>
      <c r="F74" s="4"/>
      <c r="G74" s="4"/>
      <c r="H74" s="4"/>
      <c r="I74" s="4"/>
      <c r="J74" s="4"/>
      <c r="K74" s="4"/>
    </row>
    <row r="75" customFormat="false" ht="15" hidden="false" customHeight="true" outlineLevel="0" collapsed="false">
      <c r="A75" s="4" t="s">
        <v>297</v>
      </c>
      <c r="B75" s="4" t="s">
        <v>1008</v>
      </c>
      <c r="C75" s="47" t="n">
        <v>107.4</v>
      </c>
      <c r="D75" s="4" t="s">
        <v>896</v>
      </c>
      <c r="E75" s="4" t="s">
        <v>1009</v>
      </c>
      <c r="F75" s="4" t="s">
        <v>1010</v>
      </c>
      <c r="G75" s="4"/>
      <c r="H75" s="4"/>
      <c r="I75" s="4"/>
      <c r="J75" s="4"/>
      <c r="K75" s="4"/>
    </row>
    <row r="76" customFormat="false" ht="15" hidden="false" customHeight="true" outlineLevel="0" collapsed="false">
      <c r="A76" s="4" t="s">
        <v>1011</v>
      </c>
      <c r="B76" s="4" t="s">
        <v>1008</v>
      </c>
      <c r="C76" s="47" t="n">
        <v>12</v>
      </c>
      <c r="D76" s="4" t="s">
        <v>896</v>
      </c>
      <c r="E76" s="4" t="s">
        <v>1012</v>
      </c>
      <c r="F76" s="4" t="s">
        <v>1010</v>
      </c>
      <c r="G76" s="4"/>
      <c r="H76" s="4"/>
      <c r="I76" s="4"/>
      <c r="J76" s="4"/>
      <c r="K76" s="4"/>
    </row>
    <row r="77" customFormat="false" ht="15" hidden="false" customHeight="true" outlineLevel="0" collapsed="false">
      <c r="A77" s="4" t="s">
        <v>1013</v>
      </c>
      <c r="B77" s="4" t="s">
        <v>1008</v>
      </c>
      <c r="C77" s="47" t="n">
        <v>2</v>
      </c>
      <c r="D77" s="4" t="s">
        <v>896</v>
      </c>
      <c r="E77" s="4" t="s">
        <v>1014</v>
      </c>
      <c r="F77" s="4" t="s">
        <v>1010</v>
      </c>
      <c r="G77" s="4"/>
      <c r="H77" s="4"/>
      <c r="I77" s="4"/>
      <c r="J77" s="4"/>
      <c r="K77" s="4"/>
    </row>
    <row r="78" customFormat="false" ht="15" hidden="false" customHeight="true" outlineLevel="0" collapsed="false">
      <c r="A78" s="4" t="s">
        <v>1015</v>
      </c>
      <c r="B78" s="4" t="s">
        <v>1008</v>
      </c>
      <c r="C78" s="47" t="n">
        <v>0.4</v>
      </c>
      <c r="D78" s="4" t="s">
        <v>896</v>
      </c>
      <c r="E78" s="4" t="s">
        <v>1016</v>
      </c>
      <c r="F78" s="4" t="s">
        <v>1010</v>
      </c>
      <c r="G78" s="4"/>
      <c r="H78" s="4"/>
      <c r="I78" s="4"/>
      <c r="J78" s="4"/>
      <c r="K78" s="4"/>
    </row>
    <row r="79" customFormat="false" ht="15" hidden="false" customHeight="true" outlineLevel="0" collapsed="false">
      <c r="A79" s="4" t="s">
        <v>1017</v>
      </c>
      <c r="B79" s="4" t="s">
        <v>1008</v>
      </c>
      <c r="C79" s="47" t="n">
        <v>10</v>
      </c>
      <c r="D79" s="4" t="s">
        <v>896</v>
      </c>
      <c r="E79" s="4" t="s">
        <v>1018</v>
      </c>
      <c r="F79" s="4" t="s">
        <v>1010</v>
      </c>
      <c r="G79" s="4"/>
      <c r="H79" s="4"/>
      <c r="I79" s="4"/>
      <c r="J79" s="4"/>
      <c r="K79" s="4"/>
    </row>
    <row r="80" customFormat="false" ht="15" hidden="false" customHeight="true" outlineLevel="0" collapsed="false">
      <c r="A80" s="4" t="s">
        <v>1019</v>
      </c>
      <c r="B80" s="4" t="s">
        <v>1008</v>
      </c>
      <c r="C80" s="47" t="n">
        <v>3.5</v>
      </c>
      <c r="D80" s="4" t="s">
        <v>896</v>
      </c>
      <c r="E80" s="4" t="s">
        <v>1020</v>
      </c>
      <c r="F80" s="4" t="s">
        <v>1010</v>
      </c>
      <c r="G80" s="4"/>
      <c r="H80" s="4"/>
      <c r="I80" s="4"/>
      <c r="J80" s="4"/>
      <c r="K80" s="4"/>
    </row>
    <row r="81" customFormat="false" ht="15" hidden="false" customHeight="true" outlineLevel="0" collapsed="false">
      <c r="A81" s="4" t="s">
        <v>1021</v>
      </c>
      <c r="B81" s="4" t="s">
        <v>1008</v>
      </c>
      <c r="C81" s="47" t="n">
        <v>12</v>
      </c>
      <c r="D81" s="4" t="s">
        <v>896</v>
      </c>
      <c r="E81" s="4" t="s">
        <v>1022</v>
      </c>
      <c r="F81" s="4" t="s">
        <v>1010</v>
      </c>
      <c r="G81" s="4"/>
      <c r="H81" s="4"/>
      <c r="I81" s="4"/>
      <c r="J81" s="4"/>
      <c r="K81" s="4"/>
    </row>
    <row r="82" customFormat="false" ht="15" hidden="false" customHeight="true" outlineLevel="0" collapsed="false">
      <c r="A82" s="4" t="s">
        <v>1023</v>
      </c>
      <c r="B82" s="4" t="s">
        <v>1008</v>
      </c>
      <c r="C82" s="47" t="n">
        <v>12</v>
      </c>
      <c r="D82" s="4" t="s">
        <v>896</v>
      </c>
      <c r="E82" s="4" t="s">
        <v>1024</v>
      </c>
      <c r="F82" s="4" t="s">
        <v>1010</v>
      </c>
      <c r="G82" s="4"/>
      <c r="H82" s="4"/>
      <c r="I82" s="4"/>
      <c r="J82" s="4"/>
      <c r="K82" s="4"/>
    </row>
    <row r="83" customFormat="false" ht="15" hidden="false" customHeight="true" outlineLevel="0" collapsed="false">
      <c r="A83" s="4" t="s">
        <v>1025</v>
      </c>
      <c r="B83" s="4" t="s">
        <v>1008</v>
      </c>
      <c r="C83" s="47" t="n">
        <v>3</v>
      </c>
      <c r="D83" s="4" t="s">
        <v>896</v>
      </c>
      <c r="E83" s="4" t="s">
        <v>1026</v>
      </c>
      <c r="F83" s="4" t="s">
        <v>1010</v>
      </c>
      <c r="G83" s="4"/>
      <c r="H83" s="4"/>
      <c r="I83" s="4"/>
      <c r="J83" s="4"/>
      <c r="K83" s="4"/>
    </row>
    <row r="84" customFormat="false" ht="15" hidden="false" customHeight="true" outlineLevel="0" collapsed="false">
      <c r="A84" s="4" t="s">
        <v>318</v>
      </c>
      <c r="B84" s="4" t="s">
        <v>1008</v>
      </c>
      <c r="C84" s="47" t="n">
        <v>0.5</v>
      </c>
      <c r="D84" s="4" t="s">
        <v>896</v>
      </c>
      <c r="E84" s="4" t="s">
        <v>1027</v>
      </c>
      <c r="F84" s="4" t="s">
        <v>1010</v>
      </c>
      <c r="G84" s="4"/>
      <c r="H84" s="4"/>
      <c r="I84" s="4"/>
      <c r="J84" s="4"/>
      <c r="K84" s="4"/>
    </row>
    <row r="85" customFormat="false" ht="15" hidden="false" customHeight="true" outlineLevel="0" collapsed="false">
      <c r="A85" s="4" t="s">
        <v>1028</v>
      </c>
      <c r="B85" s="4" t="s">
        <v>1029</v>
      </c>
      <c r="C85" s="47" t="n">
        <v>150</v>
      </c>
      <c r="D85" s="4" t="s">
        <v>896</v>
      </c>
      <c r="E85" s="4" t="s">
        <v>1030</v>
      </c>
      <c r="F85" s="4" t="s">
        <v>1010</v>
      </c>
      <c r="G85" s="4"/>
      <c r="H85" s="4"/>
      <c r="I85" s="4"/>
      <c r="J85" s="4"/>
      <c r="K85" s="4"/>
    </row>
    <row r="86" customFormat="false" ht="15" hidden="false" customHeight="true" outlineLevel="0" collapsed="false">
      <c r="A86" s="4" t="s">
        <v>1031</v>
      </c>
      <c r="B86" s="4" t="s">
        <v>1008</v>
      </c>
      <c r="C86" s="47" t="n">
        <v>68000</v>
      </c>
      <c r="D86" s="4" t="s">
        <v>896</v>
      </c>
      <c r="E86" s="4" t="s">
        <v>1032</v>
      </c>
      <c r="F86" s="4" t="s">
        <v>1010</v>
      </c>
      <c r="G86" s="4"/>
      <c r="H86" s="4"/>
      <c r="I86" s="4"/>
      <c r="J86" s="4"/>
      <c r="K86" s="4"/>
    </row>
    <row r="87" customFormat="false" ht="15" hidden="false" customHeight="true" outlineLevel="0" collapsed="false">
      <c r="A87" s="4" t="s">
        <v>789</v>
      </c>
      <c r="B87" s="4" t="s">
        <v>1033</v>
      </c>
      <c r="C87" s="47" t="n">
        <f aca="false">Budget_0_4_10!D23</f>
        <v>1079.53101585632</v>
      </c>
      <c r="D87" s="4" t="s">
        <v>896</v>
      </c>
      <c r="E87" s="4" t="s">
        <v>1034</v>
      </c>
      <c r="F87" s="4" t="s">
        <v>1035</v>
      </c>
      <c r="G87" s="4"/>
      <c r="H87" s="4"/>
      <c r="I87" s="4"/>
      <c r="J87" s="4"/>
      <c r="K87" s="4"/>
    </row>
    <row r="88" customFormat="false" ht="15" hidden="false" customHeight="true" outlineLevel="0" collapsed="false">
      <c r="A88" s="4"/>
      <c r="B88" s="4"/>
      <c r="C88" s="4"/>
      <c r="D88" s="4"/>
      <c r="E88" s="4"/>
      <c r="F88" s="4"/>
      <c r="G88" s="4"/>
      <c r="H88" s="4"/>
      <c r="I88" s="4"/>
      <c r="J88" s="4"/>
      <c r="K88" s="4"/>
    </row>
    <row r="89" customFormat="false" ht="15" hidden="false" customHeight="true" outlineLevel="0" collapsed="false">
      <c r="A89" s="4"/>
      <c r="B89" s="4"/>
      <c r="C89" s="4"/>
      <c r="D89" s="4"/>
      <c r="E89" s="4"/>
      <c r="F89" s="4"/>
      <c r="G89" s="4"/>
      <c r="H89" s="4"/>
      <c r="I89" s="4"/>
      <c r="J89" s="4"/>
      <c r="K89" s="4"/>
    </row>
    <row r="90" customFormat="false" ht="15" hidden="false" customHeight="true" outlineLevel="0" collapsed="false">
      <c r="A90" s="4"/>
      <c r="B90" s="4"/>
      <c r="C90" s="4"/>
      <c r="D90" s="4"/>
      <c r="E90" s="4"/>
      <c r="F90" s="4"/>
      <c r="G90" s="4"/>
      <c r="H90" s="4"/>
      <c r="I90" s="4"/>
      <c r="J90" s="4"/>
      <c r="K90" s="4"/>
    </row>
    <row r="91" customFormat="false" ht="15" hidden="false" customHeight="true" outlineLevel="0" collapsed="false">
      <c r="A91" s="4"/>
      <c r="B91" s="4"/>
      <c r="C91" s="4"/>
      <c r="D91" s="4"/>
      <c r="E91" s="4"/>
      <c r="F91" s="4"/>
      <c r="G91" s="4"/>
      <c r="H91" s="4"/>
      <c r="I91" s="4"/>
      <c r="J91" s="4"/>
      <c r="K91" s="4"/>
    </row>
    <row r="92" customFormat="false" ht="15" hidden="false" customHeight="true" outlineLevel="0" collapsed="false">
      <c r="A92" s="4"/>
      <c r="B92" s="4"/>
      <c r="C92" s="4"/>
      <c r="D92" s="4"/>
      <c r="E92" s="4"/>
      <c r="F92" s="4"/>
      <c r="G92" s="4"/>
      <c r="H92" s="4"/>
      <c r="I92" s="4"/>
      <c r="J92" s="4"/>
      <c r="K92" s="4"/>
    </row>
    <row r="93" customFormat="false" ht="15" hidden="false" customHeight="true" outlineLevel="0" collapsed="false">
      <c r="A93" s="4"/>
      <c r="B93" s="4"/>
      <c r="C93" s="4"/>
      <c r="D93" s="4"/>
      <c r="E93" s="4"/>
      <c r="F93" s="4"/>
      <c r="G93" s="4"/>
      <c r="H93" s="4"/>
      <c r="I93" s="4"/>
      <c r="J93" s="4"/>
      <c r="K93" s="4"/>
    </row>
    <row r="94" customFormat="false" ht="15" hidden="false" customHeight="true" outlineLevel="0" collapsed="false">
      <c r="A94" s="4"/>
      <c r="B94" s="4"/>
      <c r="C94" s="4"/>
      <c r="D94" s="4"/>
      <c r="E94" s="4"/>
      <c r="F94" s="4"/>
      <c r="G94" s="4"/>
      <c r="H94" s="4"/>
      <c r="I94" s="4"/>
      <c r="J94" s="4"/>
      <c r="K94" s="4"/>
    </row>
    <row r="95" customFormat="false" ht="15" hidden="false" customHeight="true" outlineLevel="0" collapsed="false">
      <c r="A95" s="4"/>
      <c r="B95" s="4"/>
      <c r="C95" s="4"/>
      <c r="D95" s="4"/>
      <c r="E95" s="4"/>
      <c r="F95" s="4"/>
      <c r="G95" s="4"/>
      <c r="H95" s="4"/>
      <c r="I95" s="4"/>
      <c r="J95" s="4"/>
      <c r="K95" s="4"/>
    </row>
    <row r="96" customFormat="false" ht="15" hidden="false" customHeight="true" outlineLevel="0" collapsed="false">
      <c r="A96" s="4"/>
      <c r="B96" s="4"/>
      <c r="C96" s="4"/>
      <c r="D96" s="4"/>
      <c r="E96" s="4"/>
      <c r="F96" s="4"/>
      <c r="G96" s="4"/>
      <c r="H96" s="4"/>
      <c r="I96" s="4"/>
      <c r="J96" s="4"/>
      <c r="K96" s="4"/>
    </row>
    <row r="97" customFormat="false" ht="15" hidden="false" customHeight="true" outlineLevel="0" collapsed="false">
      <c r="A97" s="4"/>
      <c r="B97" s="4"/>
      <c r="C97" s="4"/>
      <c r="D97" s="4"/>
      <c r="E97" s="4"/>
      <c r="F97" s="4"/>
      <c r="G97" s="4"/>
      <c r="H97" s="4"/>
      <c r="I97" s="4"/>
      <c r="J97" s="4"/>
      <c r="K97" s="4"/>
    </row>
    <row r="98" customFormat="false" ht="15" hidden="false" customHeight="true" outlineLevel="0" collapsed="false">
      <c r="A98" s="4"/>
      <c r="B98" s="4"/>
      <c r="C98" s="4"/>
      <c r="D98" s="4"/>
      <c r="E98" s="4"/>
      <c r="F98" s="4"/>
      <c r="G98" s="4"/>
      <c r="H98" s="4"/>
      <c r="I98" s="4"/>
      <c r="J98" s="4"/>
      <c r="K98" s="4"/>
    </row>
    <row r="99" customFormat="false" ht="15" hidden="false" customHeight="true" outlineLevel="0" collapsed="false">
      <c r="A99" s="4"/>
      <c r="B99" s="4"/>
      <c r="C99" s="4"/>
      <c r="D99" s="4"/>
      <c r="E99" s="4"/>
      <c r="F99" s="4"/>
      <c r="G99" s="4"/>
      <c r="H99" s="4"/>
      <c r="I99" s="4"/>
      <c r="J99" s="4"/>
      <c r="K99" s="4"/>
    </row>
    <row r="100" customFormat="false" ht="15" hidden="false" customHeight="true" outlineLevel="0" collapsed="false">
      <c r="A100" s="4"/>
      <c r="B100" s="4"/>
      <c r="C100" s="4"/>
      <c r="D100" s="4"/>
      <c r="E100" s="4"/>
      <c r="F100" s="4"/>
      <c r="G100" s="4"/>
      <c r="H100" s="4"/>
      <c r="I100" s="4"/>
      <c r="J100" s="4"/>
      <c r="K100" s="4"/>
    </row>
  </sheetData>
  <mergeCells count="6">
    <mergeCell ref="A1:F1"/>
    <mergeCell ref="A2:F2"/>
    <mergeCell ref="A11:F11"/>
    <mergeCell ref="A21:F21"/>
    <mergeCell ref="A23:F23"/>
    <mergeCell ref="A38:F38"/>
  </mergeCells>
  <conditionalFormatting sqref="B5:D39">
    <cfRule type="expression" priority="2" aboveAverage="0" equalAverage="0" bottom="0" percent="0" rank="0" text="" dxfId="0">
      <formula>B5&lt;0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34"/>
    <col collapsed="false" customWidth="true" hidden="false" outlineLevel="0" max="3" min="3" style="1" width="75"/>
    <col collapsed="false" customWidth="true" hidden="false" outlineLevel="0" max="4" min="4" style="1" width="48"/>
  </cols>
  <sheetData>
    <row r="1" customFormat="false" ht="17.25" hidden="false" customHeight="true" outlineLevel="0" collapsed="false">
      <c r="A1" s="12" t="s">
        <v>1036</v>
      </c>
      <c r="B1" s="12"/>
      <c r="C1" s="12"/>
      <c r="D1" s="12"/>
    </row>
    <row r="3" customFormat="false" ht="15" hidden="false" customHeight="true" outlineLevel="0" collapsed="false">
      <c r="A3" s="13" t="s">
        <v>1037</v>
      </c>
      <c r="B3" s="13" t="s">
        <v>40</v>
      </c>
      <c r="C3" s="13" t="s">
        <v>41</v>
      </c>
      <c r="D3" s="13" t="s">
        <v>236</v>
      </c>
    </row>
    <row r="4" customFormat="false" ht="15" hidden="false" customHeight="true" outlineLevel="0" collapsed="false">
      <c r="A4" s="14" t="s">
        <v>42</v>
      </c>
      <c r="B4" s="14" t="s">
        <v>44</v>
      </c>
      <c r="C4" s="14" t="s">
        <v>45</v>
      </c>
      <c r="D4" s="14" t="s">
        <v>1038</v>
      </c>
    </row>
    <row r="5" customFormat="false" ht="15" hidden="false" customHeight="true" outlineLevel="0" collapsed="false">
      <c r="A5" s="14" t="s">
        <v>1039</v>
      </c>
      <c r="B5" s="14" t="s">
        <v>48</v>
      </c>
      <c r="C5" s="14" t="s">
        <v>49</v>
      </c>
      <c r="D5" s="14" t="s">
        <v>1040</v>
      </c>
    </row>
    <row r="6" customFormat="false" ht="15" hidden="false" customHeight="true" outlineLevel="0" collapsed="false">
      <c r="A6" s="14" t="s">
        <v>1041</v>
      </c>
      <c r="B6" s="14" t="s">
        <v>44</v>
      </c>
      <c r="C6" s="14" t="s">
        <v>52</v>
      </c>
      <c r="D6" s="14" t="s">
        <v>1042</v>
      </c>
    </row>
    <row r="7" customFormat="false" ht="15" hidden="false" customHeight="true" outlineLevel="0" collapsed="false">
      <c r="A7" s="14" t="s">
        <v>1043</v>
      </c>
      <c r="B7" s="14" t="s">
        <v>44</v>
      </c>
      <c r="C7" s="14" t="s">
        <v>55</v>
      </c>
      <c r="D7" s="14" t="s">
        <v>1044</v>
      </c>
    </row>
    <row r="8" customFormat="false" ht="15" hidden="false" customHeight="true" outlineLevel="0" collapsed="false">
      <c r="A8" s="14" t="s">
        <v>1045</v>
      </c>
      <c r="B8" s="14" t="s">
        <v>58</v>
      </c>
      <c r="C8" s="14" t="s">
        <v>59</v>
      </c>
      <c r="D8" s="14" t="s">
        <v>1046</v>
      </c>
    </row>
    <row r="9" customFormat="false" ht="15" hidden="false" customHeight="true" outlineLevel="0" collapsed="false">
      <c r="A9" s="14" t="s">
        <v>1047</v>
      </c>
      <c r="B9" s="14" t="s">
        <v>64</v>
      </c>
      <c r="C9" s="14" t="s">
        <v>65</v>
      </c>
      <c r="D9" s="14" t="s">
        <v>1048</v>
      </c>
    </row>
    <row r="10" customFormat="false" ht="27.75" hidden="false" customHeight="true" outlineLevel="0" collapsed="false">
      <c r="A10" s="14" t="s">
        <v>1049</v>
      </c>
      <c r="B10" s="14" t="s">
        <v>70</v>
      </c>
      <c r="C10" s="14" t="s">
        <v>71</v>
      </c>
      <c r="D10" s="14" t="s">
        <v>1050</v>
      </c>
    </row>
    <row r="11" customFormat="false" ht="15" hidden="false" customHeight="true" outlineLevel="0" collapsed="false">
      <c r="A11" s="14" t="s">
        <v>1051</v>
      </c>
      <c r="B11" s="14" t="s">
        <v>87</v>
      </c>
      <c r="C11" s="14" t="s">
        <v>88</v>
      </c>
      <c r="D11" s="14" t="s">
        <v>1052</v>
      </c>
    </row>
    <row r="12" customFormat="false" ht="15" hidden="false" customHeight="true" outlineLevel="0" collapsed="false">
      <c r="A12" s="14" t="s">
        <v>1053</v>
      </c>
      <c r="B12" s="14" t="s">
        <v>1054</v>
      </c>
      <c r="C12" s="14" t="s">
        <v>642</v>
      </c>
      <c r="D12" s="14" t="s">
        <v>1055</v>
      </c>
    </row>
    <row r="13" customFormat="false" ht="15" hidden="false" customHeight="true" outlineLevel="0" collapsed="false">
      <c r="A13" s="14" t="s">
        <v>1056</v>
      </c>
      <c r="B13" s="14" t="s">
        <v>1057</v>
      </c>
      <c r="C13" s="14" t="s">
        <v>651</v>
      </c>
      <c r="D13" s="14" t="s">
        <v>1058</v>
      </c>
    </row>
    <row r="14" customFormat="false" ht="15" hidden="false" customHeight="true" outlineLevel="0" collapsed="false">
      <c r="A14" s="14" t="s">
        <v>1059</v>
      </c>
      <c r="B14" s="14" t="s">
        <v>1057</v>
      </c>
      <c r="C14" s="14" t="s">
        <v>655</v>
      </c>
      <c r="D14" s="14" t="s">
        <v>1060</v>
      </c>
    </row>
    <row r="15" customFormat="false" ht="15" hidden="false" customHeight="true" outlineLevel="0" collapsed="false">
      <c r="A15" s="14" t="s">
        <v>1061</v>
      </c>
      <c r="B15" s="14" t="s">
        <v>1057</v>
      </c>
      <c r="C15" s="14" t="s">
        <v>659</v>
      </c>
      <c r="D15" s="14" t="s">
        <v>1062</v>
      </c>
    </row>
    <row r="16" customFormat="false" ht="27.75" hidden="false" customHeight="true" outlineLevel="0" collapsed="false">
      <c r="A16" s="14" t="s">
        <v>1063</v>
      </c>
      <c r="B16" s="14" t="s">
        <v>1064</v>
      </c>
      <c r="C16" s="14" t="s">
        <v>1065</v>
      </c>
      <c r="D16" s="14" t="s">
        <v>1066</v>
      </c>
    </row>
    <row r="17" customFormat="false" ht="15" hidden="false" customHeight="true" outlineLevel="0" collapsed="false">
      <c r="A17" s="14" t="s">
        <v>89</v>
      </c>
      <c r="B17" s="14" t="s">
        <v>44</v>
      </c>
      <c r="C17" s="14" t="s">
        <v>92</v>
      </c>
      <c r="D17" s="14" t="s">
        <v>1067</v>
      </c>
    </row>
    <row r="18" customFormat="false" ht="27.75" hidden="false" customHeight="true" outlineLevel="0" collapsed="false">
      <c r="A18" s="14" t="s">
        <v>93</v>
      </c>
      <c r="B18" s="14" t="s">
        <v>44</v>
      </c>
      <c r="C18" s="14" t="s">
        <v>95</v>
      </c>
      <c r="D18" s="14" t="s">
        <v>1068</v>
      </c>
    </row>
    <row r="19" customFormat="false" ht="15" hidden="false" customHeight="true" outlineLevel="0" collapsed="false">
      <c r="A19" s="14" t="s">
        <v>1069</v>
      </c>
      <c r="B19" s="14" t="s">
        <v>1070</v>
      </c>
      <c r="C19" s="14" t="s">
        <v>1071</v>
      </c>
      <c r="D19" s="14" t="s">
        <v>1072</v>
      </c>
    </row>
    <row r="20" customFormat="false" ht="27.75" hidden="false" customHeight="true" outlineLevel="0" collapsed="false">
      <c r="A20" s="14" t="s">
        <v>1073</v>
      </c>
      <c r="B20" s="14" t="s">
        <v>1074</v>
      </c>
      <c r="C20" s="14" t="s">
        <v>1075</v>
      </c>
      <c r="D20" s="14" t="s">
        <v>1076</v>
      </c>
    </row>
    <row r="21" customFormat="false" ht="15" hidden="false" customHeight="true" outlineLevel="0" collapsed="false">
      <c r="A21" s="14" t="s">
        <v>1077</v>
      </c>
      <c r="B21" s="14" t="s">
        <v>1078</v>
      </c>
      <c r="C21" s="14" t="s">
        <v>1079</v>
      </c>
      <c r="D21" s="14" t="s">
        <v>1080</v>
      </c>
    </row>
    <row r="22" customFormat="false" ht="15" hidden="false" customHeight="true" outlineLevel="0" collapsed="false">
      <c r="A22" s="14" t="s">
        <v>1081</v>
      </c>
      <c r="B22" s="14" t="s">
        <v>1082</v>
      </c>
      <c r="C22" s="14" t="s">
        <v>1083</v>
      </c>
      <c r="D22" s="14" t="s">
        <v>1084</v>
      </c>
    </row>
    <row r="23" customFormat="false" ht="15" hidden="false" customHeight="true" outlineLevel="0" collapsed="false">
      <c r="A23" s="14" t="s">
        <v>1085</v>
      </c>
      <c r="B23" s="14" t="s">
        <v>1086</v>
      </c>
      <c r="C23" s="14" t="s">
        <v>1087</v>
      </c>
      <c r="D23" s="14" t="s">
        <v>1088</v>
      </c>
    </row>
    <row r="24" customFormat="false" ht="15" hidden="false" customHeight="true" outlineLevel="0" collapsed="false">
      <c r="A24" s="14" t="s">
        <v>1089</v>
      </c>
      <c r="B24" s="14" t="s">
        <v>91</v>
      </c>
      <c r="C24" s="14" t="s">
        <v>735</v>
      </c>
      <c r="D24" s="14" t="s">
        <v>1090</v>
      </c>
    </row>
    <row r="25" customFormat="false" ht="27.75" hidden="false" customHeight="true" outlineLevel="0" collapsed="false">
      <c r="A25" s="14" t="s">
        <v>1091</v>
      </c>
      <c r="B25" s="14" t="s">
        <v>1092</v>
      </c>
      <c r="C25" s="14" t="s">
        <v>1093</v>
      </c>
      <c r="D25" s="14" t="s">
        <v>1094</v>
      </c>
    </row>
    <row r="26" customFormat="false" ht="15" hidden="false" customHeight="true" outlineLevel="0" collapsed="false">
      <c r="A26" s="14" t="s">
        <v>1095</v>
      </c>
      <c r="B26" s="14" t="s">
        <v>1096</v>
      </c>
      <c r="C26" s="14" t="s">
        <v>1097</v>
      </c>
      <c r="D26" s="14" t="s">
        <v>1098</v>
      </c>
    </row>
    <row r="27" customFormat="false" ht="27.75" hidden="false" customHeight="true" outlineLevel="0" collapsed="false">
      <c r="A27" s="14" t="s">
        <v>1099</v>
      </c>
      <c r="B27" s="14" t="s">
        <v>1100</v>
      </c>
      <c r="C27" s="14" t="s">
        <v>1101</v>
      </c>
      <c r="D27" s="14" t="s">
        <v>1102</v>
      </c>
    </row>
    <row r="28" customFormat="false" ht="15" hidden="false" customHeight="true" outlineLevel="0" collapsed="false">
      <c r="A28" s="14" t="s">
        <v>1103</v>
      </c>
      <c r="B28" s="14" t="s">
        <v>1104</v>
      </c>
      <c r="C28" s="14" t="s">
        <v>1093</v>
      </c>
      <c r="D28" s="14" t="s">
        <v>1105</v>
      </c>
    </row>
    <row r="29" customFormat="false" ht="15" hidden="false" customHeight="true" outlineLevel="0" collapsed="false">
      <c r="A29" s="1" t="s">
        <v>1106</v>
      </c>
      <c r="B29" s="1" t="s">
        <v>58</v>
      </c>
      <c r="C29" s="1" t="s">
        <v>99</v>
      </c>
      <c r="D29" s="1" t="s">
        <v>1107</v>
      </c>
    </row>
    <row r="30" customFormat="false" ht="15" hidden="false" customHeight="true" outlineLevel="0" collapsed="false">
      <c r="A30" s="1" t="s">
        <v>1108</v>
      </c>
      <c r="B30" s="1" t="s">
        <v>1109</v>
      </c>
      <c r="C30" s="1" t="s">
        <v>1110</v>
      </c>
      <c r="D30" s="1" t="s">
        <v>1111</v>
      </c>
    </row>
    <row r="31" customFormat="false" ht="15" hidden="false" customHeight="true" outlineLevel="0" collapsed="false">
      <c r="A31" s="1" t="s">
        <v>1112</v>
      </c>
      <c r="B31" s="1" t="s">
        <v>102</v>
      </c>
      <c r="C31" s="1" t="s">
        <v>65</v>
      </c>
      <c r="D31" s="1" t="s">
        <v>1113</v>
      </c>
    </row>
    <row r="32" customFormat="false" ht="15" hidden="false" customHeight="true" outlineLevel="0" collapsed="false">
      <c r="A32" s="1" t="s">
        <v>1114</v>
      </c>
      <c r="B32" s="1" t="s">
        <v>64</v>
      </c>
      <c r="C32" s="1" t="s">
        <v>1115</v>
      </c>
      <c r="D32" s="1" t="s">
        <v>1116</v>
      </c>
    </row>
    <row r="33" customFormat="false" ht="15" hidden="false" customHeight="true" outlineLevel="0" collapsed="false">
      <c r="A33" s="1" t="s">
        <v>1117</v>
      </c>
      <c r="B33" s="1" t="s">
        <v>1118</v>
      </c>
      <c r="C33" s="1" t="s">
        <v>1119</v>
      </c>
      <c r="D33" s="1" t="s">
        <v>1120</v>
      </c>
    </row>
    <row r="34" customFormat="false" ht="15" hidden="false" customHeight="true" outlineLevel="0" collapsed="false">
      <c r="A34" s="1" t="s">
        <v>1121</v>
      </c>
      <c r="B34" s="1" t="s">
        <v>1122</v>
      </c>
      <c r="C34" s="1" t="s">
        <v>1123</v>
      </c>
      <c r="D34" s="1" t="s">
        <v>1124</v>
      </c>
    </row>
    <row r="35" customFormat="false" ht="15" hidden="false" customHeight="true" outlineLevel="0" collapsed="false">
      <c r="A35" s="1" t="s">
        <v>1125</v>
      </c>
      <c r="B35" s="1" t="s">
        <v>1126</v>
      </c>
      <c r="C35" s="1" t="s">
        <v>106</v>
      </c>
      <c r="D35" s="1" t="s">
        <v>1127</v>
      </c>
    </row>
    <row r="36" customFormat="false" ht="15" hidden="false" customHeight="true" outlineLevel="0" collapsed="false">
      <c r="A36" s="1" t="s">
        <v>1128</v>
      </c>
      <c r="B36" s="1" t="s">
        <v>109</v>
      </c>
      <c r="C36" s="1" t="s">
        <v>110</v>
      </c>
      <c r="D36" s="1" t="s">
        <v>1129</v>
      </c>
    </row>
    <row r="37" customFormat="false" ht="15" hidden="false" customHeight="true" outlineLevel="0" collapsed="false">
      <c r="A37" s="1" t="s">
        <v>1130</v>
      </c>
      <c r="B37" s="1" t="s">
        <v>1131</v>
      </c>
      <c r="C37" s="1" t="s">
        <v>1132</v>
      </c>
      <c r="D37" s="1" t="s">
        <v>1133</v>
      </c>
    </row>
    <row r="38" customFormat="false" ht="15" hidden="false" customHeight="true" outlineLevel="0" collapsed="false">
      <c r="A38" s="1" t="s">
        <v>1134</v>
      </c>
      <c r="B38" s="1" t="s">
        <v>118</v>
      </c>
      <c r="C38" s="1" t="s">
        <v>119</v>
      </c>
      <c r="D38" s="1" t="s">
        <v>1135</v>
      </c>
    </row>
    <row r="39" customFormat="false" ht="15" hidden="false" customHeight="true" outlineLevel="0" collapsed="false">
      <c r="A39" s="1" t="s">
        <v>1136</v>
      </c>
      <c r="B39" s="1" t="s">
        <v>1137</v>
      </c>
      <c r="C39" s="1" t="s">
        <v>128</v>
      </c>
      <c r="D39" s="1" t="s">
        <v>126</v>
      </c>
    </row>
    <row r="40" customFormat="false" ht="15" hidden="false" customHeight="true" outlineLevel="0" collapsed="false">
      <c r="A40" s="1" t="s">
        <v>191</v>
      </c>
      <c r="B40" s="1" t="s">
        <v>192</v>
      </c>
      <c r="C40" s="1" t="s">
        <v>131</v>
      </c>
      <c r="D40" s="1" t="s">
        <v>126</v>
      </c>
    </row>
    <row r="41" customFormat="false" ht="15" hidden="false" customHeight="true" outlineLevel="0" collapsed="false">
      <c r="A41" s="1" t="s">
        <v>1138</v>
      </c>
      <c r="B41" s="1" t="s">
        <v>1139</v>
      </c>
      <c r="C41" s="1" t="s">
        <v>135</v>
      </c>
      <c r="D41" s="1" t="s">
        <v>1140</v>
      </c>
    </row>
    <row r="42" customFormat="false" ht="15" hidden="false" customHeight="true" outlineLevel="0" collapsed="false">
      <c r="A42" s="1" t="s">
        <v>1141</v>
      </c>
      <c r="B42" s="1" t="s">
        <v>1142</v>
      </c>
      <c r="C42" s="1" t="s">
        <v>139</v>
      </c>
      <c r="D42" s="1" t="s">
        <v>1143</v>
      </c>
    </row>
    <row r="43" customFormat="false" ht="15" hidden="false" customHeight="true" outlineLevel="0" collapsed="false">
      <c r="A43" s="1" t="s">
        <v>1144</v>
      </c>
      <c r="B43" s="1" t="s">
        <v>1145</v>
      </c>
      <c r="C43" s="1" t="s">
        <v>143</v>
      </c>
      <c r="D43" s="1" t="s">
        <v>1146</v>
      </c>
    </row>
    <row r="44" customFormat="false" ht="15" hidden="false" customHeight="true" outlineLevel="0" collapsed="false">
      <c r="A44" s="1" t="s">
        <v>1147</v>
      </c>
      <c r="B44" s="1" t="s">
        <v>1148</v>
      </c>
      <c r="C44" s="1" t="s">
        <v>1149</v>
      </c>
      <c r="D44" s="1" t="s">
        <v>1150</v>
      </c>
    </row>
    <row r="45" customFormat="false" ht="15" hidden="false" customHeight="true" outlineLevel="0" collapsed="false">
      <c r="A45" s="1" t="s">
        <v>1151</v>
      </c>
      <c r="B45" s="1" t="s">
        <v>1152</v>
      </c>
      <c r="C45" s="1" t="s">
        <v>147</v>
      </c>
      <c r="D45" s="1" t="s">
        <v>1153</v>
      </c>
    </row>
    <row r="46" customFormat="false" ht="15" hidden="false" customHeight="true" outlineLevel="0" collapsed="false">
      <c r="A46" s="1" t="s">
        <v>1154</v>
      </c>
      <c r="B46" s="1" t="s">
        <v>1155</v>
      </c>
      <c r="C46" s="1" t="s">
        <v>1156</v>
      </c>
      <c r="D46" s="1" t="s">
        <v>1157</v>
      </c>
    </row>
    <row r="47" customFormat="false" ht="15" hidden="false" customHeight="true" outlineLevel="0" collapsed="false">
      <c r="A47" s="17" t="s">
        <v>1158</v>
      </c>
      <c r="B47" s="17" t="s">
        <v>1159</v>
      </c>
      <c r="C47" s="17" t="s">
        <v>59</v>
      </c>
      <c r="D47" s="17" t="s">
        <v>1160</v>
      </c>
    </row>
    <row r="48" customFormat="false" ht="15" hidden="false" customHeight="true" outlineLevel="0" collapsed="false">
      <c r="A48" s="17" t="s">
        <v>163</v>
      </c>
      <c r="B48" s="17" t="s">
        <v>1161</v>
      </c>
      <c r="C48" s="17" t="s">
        <v>166</v>
      </c>
      <c r="D48" s="17" t="s">
        <v>1162</v>
      </c>
    </row>
    <row r="49" customFormat="false" ht="15" hidden="false" customHeight="true" outlineLevel="0" collapsed="false">
      <c r="A49" s="17" t="s">
        <v>1163</v>
      </c>
      <c r="B49" s="17" t="s">
        <v>1161</v>
      </c>
      <c r="C49" s="17" t="s">
        <v>166</v>
      </c>
      <c r="D49" s="17" t="s">
        <v>1164</v>
      </c>
    </row>
    <row r="50" customFormat="false" ht="23.25" hidden="false" customHeight="true" outlineLevel="0" collapsed="false">
      <c r="A50" s="21" t="s">
        <v>1165</v>
      </c>
      <c r="B50" s="21" t="s">
        <v>1166</v>
      </c>
      <c r="C50" s="21" t="s">
        <v>170</v>
      </c>
      <c r="D50" s="21" t="s">
        <v>1167</v>
      </c>
    </row>
    <row r="51" customFormat="false" ht="23.25" hidden="false" customHeight="true" outlineLevel="0" collapsed="false">
      <c r="A51" s="21" t="s">
        <v>1168</v>
      </c>
      <c r="B51" s="21" t="s">
        <v>1169</v>
      </c>
      <c r="C51" s="21" t="s">
        <v>1170</v>
      </c>
      <c r="D51" s="21" t="s">
        <v>1171</v>
      </c>
    </row>
    <row r="52" customFormat="false" ht="23.25" hidden="false" customHeight="true" outlineLevel="0" collapsed="false">
      <c r="A52" s="21" t="s">
        <v>1172</v>
      </c>
      <c r="B52" s="21" t="s">
        <v>1173</v>
      </c>
      <c r="C52" s="21" t="s">
        <v>1174</v>
      </c>
      <c r="D52" s="21" t="s">
        <v>1175</v>
      </c>
    </row>
    <row r="53" customFormat="false" ht="15" hidden="false" customHeight="true" outlineLevel="0" collapsed="false">
      <c r="A53" s="21" t="s">
        <v>1176</v>
      </c>
      <c r="B53" s="21" t="s">
        <v>1177</v>
      </c>
      <c r="C53" s="21" t="s">
        <v>1178</v>
      </c>
      <c r="D53" s="21" t="s">
        <v>1179</v>
      </c>
    </row>
    <row r="54" customFormat="false" ht="23.25" hidden="false" customHeight="true" outlineLevel="0" collapsed="false">
      <c r="A54" s="21" t="s">
        <v>1180</v>
      </c>
      <c r="B54" s="21" t="s">
        <v>1181</v>
      </c>
      <c r="C54" s="21" t="s">
        <v>71</v>
      </c>
      <c r="D54" s="21" t="s">
        <v>1182</v>
      </c>
    </row>
    <row r="55" customFormat="false" ht="23.25" hidden="false" customHeight="true" outlineLevel="0" collapsed="false">
      <c r="A55" s="21" t="s">
        <v>1183</v>
      </c>
      <c r="B55" s="21" t="s">
        <v>1184</v>
      </c>
      <c r="C55" s="21" t="s">
        <v>1185</v>
      </c>
      <c r="D55" s="21" t="s">
        <v>1186</v>
      </c>
    </row>
    <row r="56" customFormat="false" ht="15" hidden="false" customHeight="true" outlineLevel="0" collapsed="false">
      <c r="A56" s="21" t="s">
        <v>1187</v>
      </c>
      <c r="B56" s="21" t="s">
        <v>1188</v>
      </c>
      <c r="C56" s="21" t="s">
        <v>1189</v>
      </c>
      <c r="D56" s="21" t="s">
        <v>1190</v>
      </c>
    </row>
    <row r="57" customFormat="false" ht="23.25" hidden="false" customHeight="true" outlineLevel="0" collapsed="false">
      <c r="A57" s="21" t="s">
        <v>1191</v>
      </c>
      <c r="B57" s="21" t="s">
        <v>1161</v>
      </c>
      <c r="C57" s="21" t="s">
        <v>166</v>
      </c>
      <c r="D57" s="21" t="s">
        <v>1192</v>
      </c>
    </row>
    <row r="58" customFormat="false" ht="15" hidden="false" customHeight="true" outlineLevel="0" collapsed="false">
      <c r="A58" s="21" t="s">
        <v>1193</v>
      </c>
      <c r="B58" s="21" t="s">
        <v>1161</v>
      </c>
      <c r="C58" s="21" t="s">
        <v>166</v>
      </c>
      <c r="D58" s="21" t="s">
        <v>1194</v>
      </c>
    </row>
    <row r="60" customFormat="false" ht="15" hidden="false" customHeight="true" outlineLevel="0" collapsed="false">
      <c r="A60" s="17" t="s">
        <v>1195</v>
      </c>
      <c r="B60" s="17" t="s">
        <v>1196</v>
      </c>
      <c r="C60" s="17" t="s">
        <v>1197</v>
      </c>
      <c r="D60" s="17" t="s">
        <v>1198</v>
      </c>
    </row>
    <row r="61" customFormat="false" ht="15" hidden="false" customHeight="true" outlineLevel="0" collapsed="false">
      <c r="A61" s="17" t="s">
        <v>1199</v>
      </c>
      <c r="B61" s="17" t="s">
        <v>1200</v>
      </c>
      <c r="C61" s="17" t="s">
        <v>1201</v>
      </c>
      <c r="D61" s="17" t="s">
        <v>1202</v>
      </c>
    </row>
    <row r="62" customFormat="false" ht="15" hidden="false" customHeight="true" outlineLevel="0" collapsed="false">
      <c r="A62" s="17" t="s">
        <v>1203</v>
      </c>
      <c r="B62" s="17" t="s">
        <v>1204</v>
      </c>
      <c r="C62" s="17" t="s">
        <v>1205</v>
      </c>
      <c r="D62" s="17" t="s">
        <v>1206</v>
      </c>
    </row>
    <row r="63" customFormat="false" ht="15" hidden="false" customHeight="true" outlineLevel="0" collapsed="false">
      <c r="A63" s="17" t="s">
        <v>1207</v>
      </c>
      <c r="B63" s="17" t="s">
        <v>1208</v>
      </c>
      <c r="C63" s="17" t="s">
        <v>1209</v>
      </c>
      <c r="D63" s="17" t="s">
        <v>1210</v>
      </c>
    </row>
    <row r="64" customFormat="false" ht="15" hidden="false" customHeight="true" outlineLevel="0" collapsed="false">
      <c r="A64" s="17" t="s">
        <v>1211</v>
      </c>
      <c r="B64" s="17" t="s">
        <v>1212</v>
      </c>
      <c r="C64" s="17" t="s">
        <v>1213</v>
      </c>
      <c r="D64" s="17" t="s">
        <v>1214</v>
      </c>
    </row>
    <row r="65" customFormat="false" ht="15" hidden="false" customHeight="true" outlineLevel="0" collapsed="false">
      <c r="A65" s="17" t="s">
        <v>1215</v>
      </c>
      <c r="B65" s="17" t="s">
        <v>1216</v>
      </c>
      <c r="C65" s="17" t="s">
        <v>1217</v>
      </c>
      <c r="D65" s="17" t="s">
        <v>1218</v>
      </c>
    </row>
    <row r="66" customFormat="false" ht="15" hidden="false" customHeight="true" outlineLevel="0" collapsed="false">
      <c r="A66" s="17" t="s">
        <v>1219</v>
      </c>
      <c r="B66" s="17" t="s">
        <v>1220</v>
      </c>
      <c r="C66" s="17" t="s">
        <v>1221</v>
      </c>
      <c r="D66" s="17" t="s">
        <v>1222</v>
      </c>
    </row>
    <row r="67" customFormat="false" ht="15" hidden="false" customHeight="true" outlineLevel="0" collapsed="false">
      <c r="A67" s="17" t="s">
        <v>1223</v>
      </c>
      <c r="B67" s="17" t="s">
        <v>1224</v>
      </c>
      <c r="C67" s="17" t="s">
        <v>1225</v>
      </c>
      <c r="D67" s="17" t="s">
        <v>1226</v>
      </c>
    </row>
    <row r="68" customFormat="false" ht="15" hidden="false" customHeight="true" outlineLevel="0" collapsed="false">
      <c r="A68" s="17" t="s">
        <v>1227</v>
      </c>
      <c r="B68" s="17" t="s">
        <v>1228</v>
      </c>
      <c r="C68" s="17" t="s">
        <v>1229</v>
      </c>
      <c r="D68" s="17" t="s">
        <v>1230</v>
      </c>
    </row>
    <row r="69" customFormat="false" ht="15" hidden="false" customHeight="true" outlineLevel="0" collapsed="false">
      <c r="A69" s="17" t="s">
        <v>1231</v>
      </c>
      <c r="B69" s="17" t="s">
        <v>1232</v>
      </c>
      <c r="C69" s="17" t="s">
        <v>1233</v>
      </c>
      <c r="D69" s="17" t="s">
        <v>1234</v>
      </c>
    </row>
    <row r="70" customFormat="false" ht="23.25" hidden="false" customHeight="true" outlineLevel="0" collapsed="false">
      <c r="A70" s="4" t="s">
        <v>1235</v>
      </c>
      <c r="B70" s="4" t="s">
        <v>1236</v>
      </c>
      <c r="C70" s="4" t="s">
        <v>1237</v>
      </c>
      <c r="D70" s="4" t="s">
        <v>1238</v>
      </c>
    </row>
    <row r="71" customFormat="false" ht="23.25" hidden="false" customHeight="true" outlineLevel="0" collapsed="false">
      <c r="A71" s="4" t="s">
        <v>1239</v>
      </c>
      <c r="B71" s="4" t="s">
        <v>1240</v>
      </c>
      <c r="C71" s="4" t="s">
        <v>1241</v>
      </c>
      <c r="D71" s="4" t="s">
        <v>1242</v>
      </c>
    </row>
    <row r="72" customFormat="false" ht="23.25" hidden="false" customHeight="true" outlineLevel="0" collapsed="false">
      <c r="A72" s="4" t="s">
        <v>1243</v>
      </c>
      <c r="B72" s="4" t="s">
        <v>1244</v>
      </c>
      <c r="C72" s="4" t="s">
        <v>1245</v>
      </c>
      <c r="D72" s="4" t="s">
        <v>1246</v>
      </c>
    </row>
    <row r="73" customFormat="false" ht="23.25" hidden="false" customHeight="true" outlineLevel="0" collapsed="false">
      <c r="A73" s="4" t="s">
        <v>1247</v>
      </c>
      <c r="B73" s="4" t="s">
        <v>1248</v>
      </c>
      <c r="C73" s="4" t="s">
        <v>1249</v>
      </c>
      <c r="D73" s="4" t="s">
        <v>1250</v>
      </c>
    </row>
    <row r="74" customFormat="false" ht="23.25" hidden="false" customHeight="true" outlineLevel="0" collapsed="false">
      <c r="A74" s="4" t="s">
        <v>1251</v>
      </c>
      <c r="B74" s="4" t="s">
        <v>1252</v>
      </c>
      <c r="C74" s="4" t="s">
        <v>1253</v>
      </c>
      <c r="D74" s="4" t="s">
        <v>1254</v>
      </c>
    </row>
    <row r="75" customFormat="false" ht="15" hidden="false" customHeight="true" outlineLevel="0" collapsed="false">
      <c r="A75" s="17" t="s">
        <v>1255</v>
      </c>
      <c r="B75" s="17" t="s">
        <v>1256</v>
      </c>
      <c r="C75" s="17" t="s">
        <v>1257</v>
      </c>
      <c r="D75" s="17" t="s">
        <v>1258</v>
      </c>
    </row>
    <row r="76" customFormat="false" ht="15" hidden="false" customHeight="true" outlineLevel="0" collapsed="false">
      <c r="A76" s="17" t="s">
        <v>1259</v>
      </c>
      <c r="B76" s="17" t="s">
        <v>1260</v>
      </c>
      <c r="C76" s="17" t="s">
        <v>1261</v>
      </c>
      <c r="D76" s="17" t="s">
        <v>1262</v>
      </c>
    </row>
    <row r="77" customFormat="false" ht="15" hidden="false" customHeight="true" outlineLevel="0" collapsed="false">
      <c r="A77" s="17" t="s">
        <v>1263</v>
      </c>
      <c r="B77" s="17" t="s">
        <v>1264</v>
      </c>
      <c r="C77" s="17" t="s">
        <v>1265</v>
      </c>
      <c r="D77" s="17" t="s">
        <v>1266</v>
      </c>
    </row>
    <row r="78" customFormat="false" ht="15" hidden="false" customHeight="true" outlineLevel="0" collapsed="false">
      <c r="A78" s="17" t="s">
        <v>1267</v>
      </c>
      <c r="B78" s="17" t="s">
        <v>1268</v>
      </c>
      <c r="C78" s="17" t="s">
        <v>1269</v>
      </c>
      <c r="D78" s="17" t="s">
        <v>1270</v>
      </c>
    </row>
  </sheetData>
  <mergeCells count="1">
    <mergeCell ref="A1:D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4"/>
    <col collapsed="false" customWidth="true" hidden="false" outlineLevel="0" max="3" min="2" style="17" width="18"/>
    <col collapsed="false" customWidth="true" hidden="false" outlineLevel="0" max="4" min="4" style="17" width="12"/>
  </cols>
  <sheetData>
    <row r="1" customFormat="false" ht="27.75" hidden="false" customHeight="true" outlineLevel="0" collapsed="false">
      <c r="A1" s="35" t="s">
        <v>1271</v>
      </c>
      <c r="B1" s="35"/>
      <c r="C1" s="35"/>
      <c r="D1" s="35"/>
      <c r="E1" s="4"/>
      <c r="F1" s="4"/>
      <c r="G1" s="4"/>
      <c r="H1" s="4"/>
      <c r="I1" s="4"/>
      <c r="J1" s="4"/>
      <c r="K1" s="4"/>
    </row>
    <row r="2" customFormat="false" ht="15" hidden="false" customHeight="true" outlineLevel="0" collapsed="false">
      <c r="A2" s="4"/>
      <c r="B2" s="4"/>
      <c r="C2" s="4"/>
      <c r="D2" s="4"/>
      <c r="E2" s="4"/>
      <c r="F2" s="4"/>
      <c r="G2" s="4"/>
      <c r="H2" s="4"/>
      <c r="I2" s="4"/>
      <c r="J2" s="4"/>
      <c r="K2" s="4"/>
    </row>
    <row r="3" customFormat="false" ht="15" hidden="false" customHeight="true" outlineLevel="0" collapsed="false">
      <c r="A3" s="106" t="s">
        <v>1272</v>
      </c>
      <c r="B3" s="106" t="s">
        <v>1273</v>
      </c>
      <c r="C3" s="106" t="s">
        <v>572</v>
      </c>
      <c r="D3" s="106" t="s">
        <v>691</v>
      </c>
      <c r="E3" s="4"/>
      <c r="F3" s="4"/>
      <c r="G3" s="4"/>
      <c r="H3" s="4"/>
      <c r="I3" s="4"/>
      <c r="J3" s="4"/>
      <c r="K3" s="4"/>
    </row>
    <row r="4" customFormat="false" ht="21.75" hidden="false" customHeight="true" outlineLevel="0" collapsed="false">
      <c r="A4" s="134" t="s">
        <v>1274</v>
      </c>
      <c r="B4" s="146" t="n">
        <v>20470.757841</v>
      </c>
      <c r="C4" s="135" t="n">
        <f aca="false">Liquid_Income_Base!B16</f>
        <v>20470.757841</v>
      </c>
      <c r="D4" s="147" t="str">
        <f aca="false">IF(ABS(B4-C4)&lt;0.001,"PASS","CHECK")</f>
        <v>PASS</v>
      </c>
      <c r="E4" s="4"/>
      <c r="F4" s="4"/>
      <c r="G4" s="4"/>
      <c r="H4" s="4"/>
      <c r="I4" s="4"/>
      <c r="J4" s="4"/>
      <c r="K4" s="4"/>
    </row>
    <row r="5" customFormat="false" ht="21.75" hidden="false" customHeight="true" outlineLevel="0" collapsed="false">
      <c r="A5" s="134" t="s">
        <v>1275</v>
      </c>
      <c r="B5" s="146" t="n">
        <v>246.531991825</v>
      </c>
      <c r="C5" s="135" t="n">
        <f aca="false">Citizen_Data_Royalty!H13</f>
        <v>246.531991825</v>
      </c>
      <c r="D5" s="147" t="str">
        <f aca="false">IF(ABS(B5-C5)&lt;0.001,"PASS","CHECK")</f>
        <v>PASS</v>
      </c>
      <c r="E5" s="4"/>
      <c r="F5" s="4"/>
      <c r="G5" s="4"/>
      <c r="H5" s="4"/>
      <c r="I5" s="4"/>
      <c r="J5" s="4"/>
      <c r="K5" s="4"/>
    </row>
    <row r="6" customFormat="false" ht="21.75" hidden="false" customHeight="true" outlineLevel="0" collapsed="false">
      <c r="A6" s="134" t="s">
        <v>1276</v>
      </c>
      <c r="B6" s="146" t="n">
        <v>73.9595975475</v>
      </c>
      <c r="C6" s="135" t="n">
        <f aca="false">Citizen_Data_Royalty!J13</f>
        <v>73.9595975475</v>
      </c>
      <c r="D6" s="147" t="str">
        <f aca="false">IF(ABS(B6-C6)&lt;0.001,"PASS","CHECK")</f>
        <v>PASS</v>
      </c>
      <c r="E6" s="4"/>
      <c r="F6" s="4"/>
      <c r="G6" s="4"/>
      <c r="H6" s="4"/>
      <c r="I6" s="4"/>
      <c r="J6" s="4"/>
      <c r="K6" s="4"/>
    </row>
    <row r="7" customFormat="false" ht="21.75" hidden="false" customHeight="true" outlineLevel="0" collapsed="false">
      <c r="A7" s="134" t="s">
        <v>1277</v>
      </c>
      <c r="B7" s="146" t="n">
        <v>0</v>
      </c>
      <c r="C7" s="135" t="n">
        <f aca="false">Deficit_Views!B56-Tax_Revenue_2024!D14</f>
        <v>0</v>
      </c>
      <c r="D7" s="147" t="str">
        <f aca="false">IF(ABS(B7-C7)&lt;0.001,"PASS","CHECK")</f>
        <v>PASS</v>
      </c>
      <c r="E7" s="4"/>
      <c r="F7" s="4"/>
      <c r="G7" s="4"/>
      <c r="H7" s="4"/>
      <c r="I7" s="4"/>
      <c r="J7" s="4"/>
      <c r="K7" s="4"/>
    </row>
    <row r="8" customFormat="false" ht="21.75" hidden="false" customHeight="true" outlineLevel="0" collapsed="false">
      <c r="A8" s="134" t="s">
        <v>1278</v>
      </c>
      <c r="B8" s="146" t="n">
        <v>241.2746</v>
      </c>
      <c r="C8" s="135" t="n">
        <f aca="false">Luxury_Tax!D10</f>
        <v>241.2746</v>
      </c>
      <c r="D8" s="147" t="str">
        <f aca="false">IF(ABS(B8-C8)&lt;0.001,"PASS","CHECK")</f>
        <v>PASS</v>
      </c>
      <c r="E8" s="4"/>
      <c r="F8" s="4"/>
      <c r="G8" s="4"/>
      <c r="H8" s="4"/>
      <c r="I8" s="4"/>
      <c r="J8" s="4"/>
      <c r="K8" s="4"/>
    </row>
    <row r="9" customFormat="false" ht="21.75" hidden="false" customHeight="true" outlineLevel="0" collapsed="false">
      <c r="A9" s="134" t="s">
        <v>1279</v>
      </c>
      <c r="B9" s="146" t="n">
        <v>12.06373</v>
      </c>
      <c r="C9" s="135" t="n">
        <f aca="false">Luxury_Tax!F10</f>
        <v>12.06373</v>
      </c>
      <c r="D9" s="147" t="str">
        <f aca="false">IF(ABS(B9-C9)&lt;0.001,"PASS","CHECK")</f>
        <v>PASS</v>
      </c>
      <c r="E9" s="4"/>
      <c r="F9" s="4"/>
      <c r="G9" s="4"/>
      <c r="H9" s="4"/>
      <c r="I9" s="4"/>
      <c r="J9" s="4"/>
      <c r="K9" s="4"/>
    </row>
    <row r="10" customFormat="false" ht="21.75" hidden="false" customHeight="true" outlineLevel="0" collapsed="false">
      <c r="A10" s="134" t="s">
        <v>1280</v>
      </c>
      <c r="B10" s="146" t="n">
        <v>0</v>
      </c>
      <c r="C10" s="135" t="n">
        <f aca="false">Tax_Revenue_2024!D33-(SUM(Tax_Revenue_2024!D4:D13)+SUM(Tax_Revenue_2024!D16:D23)+SUM(Tax_Revenue_2024!D24:D32))</f>
        <v>0</v>
      </c>
      <c r="D10" s="147" t="str">
        <f aca="false">IF(ABS(B10-C10)&lt;0.001,"PASS","CHECK")</f>
        <v>PASS</v>
      </c>
      <c r="E10" s="4"/>
      <c r="F10" s="4"/>
      <c r="G10" s="4"/>
      <c r="H10" s="4"/>
      <c r="I10" s="4"/>
      <c r="J10" s="4"/>
      <c r="K10" s="4"/>
    </row>
    <row r="11" customFormat="false" ht="21.75" hidden="false" customHeight="true" outlineLevel="0" collapsed="false">
      <c r="A11" s="134" t="s">
        <v>1281</v>
      </c>
      <c r="B11" s="146" t="n">
        <v>0</v>
      </c>
      <c r="C11" s="135" t="n">
        <f aca="false">Deficit_Views!B17-(Deficit_Views!B15+Deficit_Views!B16)</f>
        <v>0</v>
      </c>
      <c r="D11" s="147" t="str">
        <f aca="false">IF(ABS(B11-C11)&lt;0.001,"PASS","CHECK")</f>
        <v>PASS</v>
      </c>
      <c r="E11" s="4"/>
      <c r="F11" s="4"/>
      <c r="G11" s="4"/>
      <c r="H11" s="4"/>
      <c r="I11" s="4"/>
      <c r="J11" s="4"/>
      <c r="K11" s="4"/>
    </row>
    <row r="12" customFormat="false" ht="21.75" hidden="false" customHeight="true" outlineLevel="0" collapsed="false">
      <c r="A12" s="134" t="s">
        <v>1282</v>
      </c>
      <c r="B12" s="146" t="n">
        <v>0</v>
      </c>
      <c r="C12" s="135" t="n">
        <f aca="false">Deficit_Views!B23-(Deficit_Views!B17-SUM(Deficit_Views!B18:B22))</f>
        <v>0</v>
      </c>
      <c r="D12" s="147" t="str">
        <f aca="false">IF(ABS(B12-C12)&lt;0.001,"PASS","CHECK")</f>
        <v>PASS</v>
      </c>
      <c r="E12" s="4"/>
      <c r="F12" s="4"/>
      <c r="G12" s="4"/>
      <c r="H12" s="4"/>
      <c r="I12" s="4"/>
      <c r="J12" s="4"/>
      <c r="K12" s="4"/>
    </row>
    <row r="13" customFormat="false" ht="21.75" hidden="false" customHeight="true" outlineLevel="0" collapsed="false">
      <c r="A13" s="134" t="s">
        <v>1283</v>
      </c>
      <c r="B13" s="146" t="n">
        <v>0</v>
      </c>
      <c r="C13" s="135" t="n">
        <f aca="false">Deficit_Views!B30-(Deficit_Views!B28-Deficit_Views!B29)</f>
        <v>0</v>
      </c>
      <c r="D13" s="147" t="str">
        <f aca="false">IF(ABS(B13-C13)&lt;0.001,"PASS","CHECK")</f>
        <v>PASS</v>
      </c>
      <c r="E13" s="4"/>
      <c r="F13" s="4"/>
      <c r="G13" s="4"/>
      <c r="H13" s="4"/>
      <c r="I13" s="4"/>
      <c r="J13" s="4"/>
      <c r="K13" s="4"/>
    </row>
    <row r="14" customFormat="false" ht="21.75" hidden="false" customHeight="true" outlineLevel="0" collapsed="false">
      <c r="A14" s="134" t="s">
        <v>1284</v>
      </c>
      <c r="B14" s="146" t="n">
        <v>0</v>
      </c>
      <c r="C14" s="135" t="n">
        <f aca="false">Deficit_Views!B38-(Deficit_Views!B36-Deficit_Views!B37)</f>
        <v>0</v>
      </c>
      <c r="D14" s="147" t="str">
        <f aca="false">IF(ABS(B14-C14)&lt;0.001,"PASS","CHECK")</f>
        <v>PASS</v>
      </c>
      <c r="E14" s="4"/>
      <c r="F14" s="4"/>
      <c r="G14" s="4"/>
      <c r="H14" s="4"/>
      <c r="I14" s="4"/>
      <c r="J14" s="4"/>
      <c r="K14" s="4"/>
    </row>
    <row r="15" customFormat="false" ht="21.75" hidden="false" customHeight="true" outlineLevel="0" collapsed="false">
      <c r="A15" s="134" t="s">
        <v>1285</v>
      </c>
      <c r="B15" s="146" t="n">
        <v>0</v>
      </c>
      <c r="C15" s="135" t="n">
        <f aca="false">Deficit_Views!B46-(Deficit_Views!B43+Deficit_Views!B44+Deficit_Views!B45+National_Continuity!D26+6)</f>
        <v>0</v>
      </c>
      <c r="D15" s="147" t="str">
        <f aca="false">IF(ABS(B15-C15)&lt;0.001,"PASS","CHECK")</f>
        <v>PASS</v>
      </c>
      <c r="E15" s="4"/>
      <c r="F15" s="4"/>
      <c r="G15" s="4"/>
      <c r="H15" s="4"/>
      <c r="I15" s="4"/>
      <c r="J15" s="4"/>
      <c r="K15" s="4"/>
    </row>
    <row r="16" customFormat="false" ht="21.75" hidden="false" customHeight="true" outlineLevel="0" collapsed="false">
      <c r="A16" s="134" t="s">
        <v>1286</v>
      </c>
      <c r="B16" s="146" t="n">
        <v>0</v>
      </c>
      <c r="C16" s="135" t="n">
        <f aca="false">Reclassified_Outlays!B11</f>
        <v>0</v>
      </c>
      <c r="D16" s="147" t="str">
        <f aca="false">IF(ABS(B16-C16)&lt;0.001,"PASS","CHECK")</f>
        <v>PASS</v>
      </c>
      <c r="E16" s="4"/>
      <c r="F16" s="4"/>
      <c r="G16" s="4"/>
      <c r="H16" s="4"/>
      <c r="I16" s="4"/>
      <c r="J16" s="4"/>
      <c r="K16" s="4"/>
    </row>
    <row r="17" customFormat="false" ht="21.75" hidden="false" customHeight="true" outlineLevel="0" collapsed="false">
      <c r="A17" s="134" t="s">
        <v>1287</v>
      </c>
      <c r="B17" s="146" t="n">
        <v>113</v>
      </c>
      <c r="C17" s="135" t="n">
        <f aca="false">Healthcare_3_5_5!D23</f>
        <v>113</v>
      </c>
      <c r="D17" s="147" t="str">
        <f aca="false">IF(ABS(B17-C17)&lt;0.001,"PASS","CHECK")</f>
        <v>PASS</v>
      </c>
      <c r="E17" s="4"/>
      <c r="F17" s="4"/>
      <c r="G17" s="4"/>
      <c r="H17" s="4"/>
      <c r="I17" s="4"/>
      <c r="J17" s="4"/>
      <c r="K17" s="4"/>
    </row>
    <row r="18" customFormat="false" ht="21.75" hidden="false" customHeight="true" outlineLevel="0" collapsed="false">
      <c r="A18" s="134" t="s">
        <v>1288</v>
      </c>
      <c r="B18" s="146" t="n">
        <v>10</v>
      </c>
      <c r="C18" s="135" t="n">
        <f aca="false">Deficit_Views!B22</f>
        <v>10</v>
      </c>
      <c r="D18" s="147" t="str">
        <f aca="false">IF(ABS(B18-C18)&lt;0.001,"PASS","CHECK")</f>
        <v>PASS</v>
      </c>
      <c r="E18" s="4"/>
      <c r="F18" s="4"/>
      <c r="G18" s="4"/>
      <c r="H18" s="4"/>
      <c r="I18" s="4"/>
      <c r="J18" s="4"/>
      <c r="K18" s="4"/>
    </row>
    <row r="19" customFormat="false" ht="21.75" hidden="false" customHeight="true" outlineLevel="0" collapsed="false">
      <c r="A19" s="134" t="s">
        <v>1289</v>
      </c>
      <c r="B19" s="146" t="n">
        <v>0</v>
      </c>
      <c r="C19" s="135" t="n">
        <f aca="false">Deficit_Views!B50-Deficit_Views!B46</f>
        <v>0</v>
      </c>
      <c r="D19" s="147" t="str">
        <f aca="false">IF(ABS(B19-C19)&lt;0.001,"PASS","CHECK")</f>
        <v>PASS</v>
      </c>
      <c r="E19" s="4"/>
      <c r="F19" s="4"/>
      <c r="G19" s="4"/>
      <c r="H19" s="4"/>
      <c r="I19" s="4"/>
      <c r="J19" s="4"/>
      <c r="K19" s="4"/>
    </row>
    <row r="20" customFormat="false" ht="21.75" hidden="false" customHeight="true" outlineLevel="0" collapsed="false">
      <c r="A20" s="134" t="s">
        <v>1290</v>
      </c>
      <c r="B20" s="146" t="n">
        <v>2232.929</v>
      </c>
      <c r="C20" s="135" t="n">
        <f aca="false">Tax_Revenue_2024!D16</f>
        <v>2232.929</v>
      </c>
      <c r="D20" s="147" t="str">
        <f aca="false">IF(ABS(B20-C20)&lt;0.001,"PASS","CHECK")</f>
        <v>PASS</v>
      </c>
      <c r="E20" s="4"/>
      <c r="F20" s="4"/>
      <c r="G20" s="4"/>
      <c r="H20" s="4"/>
      <c r="I20" s="4"/>
      <c r="J20" s="4"/>
      <c r="K20" s="4"/>
    </row>
    <row r="21" customFormat="false" ht="21.75" hidden="false" customHeight="true" outlineLevel="0" collapsed="false">
      <c r="A21" s="134" t="s">
        <v>1291</v>
      </c>
      <c r="B21" s="146" t="n">
        <v>1</v>
      </c>
      <c r="C21" s="135" t="n">
        <f aca="false">IF(Equity_Compensation!B16="Set at adoption",1,0)</f>
        <v>1</v>
      </c>
      <c r="D21" s="147" t="str">
        <f aca="false">IF(ABS(B21-C21)&lt;0.001,"PASS","CHECK")</f>
        <v>PASS</v>
      </c>
      <c r="E21" s="4"/>
      <c r="F21" s="4"/>
      <c r="G21" s="4"/>
      <c r="H21" s="4"/>
      <c r="I21" s="4"/>
      <c r="J21" s="4"/>
      <c r="K21" s="4"/>
    </row>
    <row r="22" customFormat="false" ht="21.75" hidden="false" customHeight="true" outlineLevel="0" collapsed="false">
      <c r="A22" s="134" t="s">
        <v>1292</v>
      </c>
      <c r="B22" s="146" t="n">
        <v>0.09</v>
      </c>
      <c r="C22" s="135" t="n">
        <f aca="false">Equity_Compensation!B18</f>
        <v>0.09</v>
      </c>
      <c r="D22" s="147" t="str">
        <f aca="false">IF(ABS(B22-C22)&lt;0.001,"PASS","CHECK")</f>
        <v>PASS</v>
      </c>
      <c r="E22" s="4"/>
      <c r="F22" s="4"/>
      <c r="G22" s="4"/>
      <c r="H22" s="4"/>
      <c r="I22" s="4"/>
      <c r="J22" s="4"/>
      <c r="K22" s="4"/>
    </row>
    <row r="23" customFormat="false" ht="21.75" hidden="false" customHeight="true" outlineLevel="0" collapsed="false">
      <c r="A23" s="134" t="s">
        <v>1293</v>
      </c>
      <c r="B23" s="146" t="n">
        <v>253</v>
      </c>
      <c r="C23" s="135" t="n">
        <f aca="false">Tax_Revenue_2024!D19</f>
        <v>253</v>
      </c>
      <c r="D23" s="147" t="str">
        <f aca="false">IF(ABS(B23-C23)&lt;0.001,"PASS","CHECK")</f>
        <v>PASS</v>
      </c>
      <c r="E23" s="4"/>
      <c r="F23" s="4"/>
      <c r="G23" s="4"/>
      <c r="H23" s="4"/>
      <c r="I23" s="4"/>
      <c r="J23" s="4"/>
      <c r="K23" s="4"/>
    </row>
    <row r="24" customFormat="false" ht="21.75" hidden="false" customHeight="true" outlineLevel="0" collapsed="false">
      <c r="A24" s="134" t="s">
        <v>1294</v>
      </c>
      <c r="B24" s="146" t="n">
        <v>142.920192789</v>
      </c>
      <c r="C24" s="135" t="n">
        <f aca="false">Tax_Revenue_2024!D9</f>
        <v>142.920192789</v>
      </c>
      <c r="D24" s="147" t="str">
        <f aca="false">IF(ABS(B24-C24)&lt;0.001,"PASS","CHECK")</f>
        <v>PASS</v>
      </c>
      <c r="E24" s="4"/>
      <c r="F24" s="4"/>
      <c r="G24" s="4"/>
      <c r="H24" s="4"/>
      <c r="I24" s="4"/>
      <c r="J24" s="4"/>
      <c r="K24" s="4"/>
    </row>
    <row r="25" customFormat="false" ht="21.75" hidden="false" customHeight="true" outlineLevel="0" collapsed="false">
      <c r="A25" s="134" t="s">
        <v>1295</v>
      </c>
      <c r="B25" s="146" t="n">
        <v>3.307053161</v>
      </c>
      <c r="C25" s="135" t="n">
        <f aca="false">Tax_Revenue_2024!D10</f>
        <v>3.307053161</v>
      </c>
      <c r="D25" s="147" t="str">
        <f aca="false">IF(ABS(B25-C25)&lt;0.001,"PASS","CHECK")</f>
        <v>PASS</v>
      </c>
      <c r="E25" s="4"/>
      <c r="F25" s="4"/>
      <c r="G25" s="4"/>
      <c r="H25" s="4"/>
      <c r="I25" s="4"/>
      <c r="J25" s="4"/>
      <c r="K25" s="4"/>
    </row>
    <row r="26" customFormat="false" ht="21.75" hidden="false" customHeight="true" outlineLevel="0" collapsed="false">
      <c r="A26" s="134" t="s">
        <v>1296</v>
      </c>
      <c r="B26" s="146" t="n">
        <v>7.95</v>
      </c>
      <c r="C26" s="135" t="n">
        <f aca="false">Tax_Revenue_2024!D11</f>
        <v>7.95</v>
      </c>
      <c r="D26" s="147" t="str">
        <f aca="false">IF(ABS(B26-C26)&lt;0.001,"PASS","CHECK")</f>
        <v>PASS</v>
      </c>
      <c r="E26" s="4"/>
      <c r="F26" s="4"/>
      <c r="G26" s="4"/>
      <c r="H26" s="4"/>
      <c r="I26" s="4"/>
      <c r="J26" s="4"/>
      <c r="K26" s="4"/>
    </row>
    <row r="27" customFormat="false" ht="21.75" hidden="false" customHeight="true" outlineLevel="0" collapsed="false">
      <c r="A27" s="134" t="s">
        <v>1297</v>
      </c>
      <c r="B27" s="146" t="n">
        <v>151.4038</v>
      </c>
      <c r="C27" s="135" t="n">
        <f aca="false">Tax_Revenue_2024!D12</f>
        <v>151.4038</v>
      </c>
      <c r="D27" s="147" t="str">
        <f aca="false">IF(ABS(B27-C27)&lt;0.001,"PASS","CHECK")</f>
        <v>PASS</v>
      </c>
      <c r="E27" s="4"/>
      <c r="F27" s="4"/>
      <c r="G27" s="4"/>
      <c r="H27" s="4"/>
      <c r="I27" s="4"/>
      <c r="J27" s="4"/>
      <c r="K27" s="4"/>
    </row>
    <row r="28" customFormat="false" ht="15" hidden="false" customHeight="true" outlineLevel="0" collapsed="false">
      <c r="A28" s="4" t="s">
        <v>1298</v>
      </c>
      <c r="B28" s="4" t="n">
        <v>0</v>
      </c>
      <c r="C28" s="4" t="n">
        <f aca="false">Budget_0_4_10!B5-NLA_Model!E21</f>
        <v>0</v>
      </c>
      <c r="D28" s="4" t="str">
        <f aca="false">IF(ABS(B28-C28)&lt;0.001,"PASS","CHECK")</f>
        <v>PASS</v>
      </c>
      <c r="E28" s="4"/>
      <c r="F28" s="4"/>
      <c r="G28" s="4"/>
      <c r="H28" s="4"/>
      <c r="I28" s="4"/>
      <c r="J28" s="4"/>
      <c r="K28" s="4"/>
    </row>
    <row r="29" customFormat="false" ht="24.75" hidden="false" customHeight="true" outlineLevel="0" collapsed="false">
      <c r="A29" s="148" t="s">
        <v>1299</v>
      </c>
      <c r="B29" s="17" t="n">
        <v>164</v>
      </c>
      <c r="C29" s="149" t="n">
        <f aca="false">Cost_Savings_Program!B27</f>
        <v>164</v>
      </c>
      <c r="D29" s="17" t="str">
        <f aca="false">IF(ABS(B29-C29)&lt;0.001,"PASS","CHECK")</f>
        <v>PASS</v>
      </c>
      <c r="E29" s="4"/>
      <c r="F29" s="4"/>
      <c r="G29" s="4"/>
      <c r="H29" s="4"/>
      <c r="I29" s="4"/>
      <c r="J29" s="4"/>
      <c r="K29" s="4"/>
    </row>
    <row r="30" customFormat="false" ht="15" hidden="false" customHeight="true" outlineLevel="0" collapsed="false">
      <c r="A30" s="4" t="s">
        <v>1300</v>
      </c>
      <c r="B30" s="17" t="n">
        <v>1079.53101585632</v>
      </c>
      <c r="C30" s="29" t="n">
        <f aca="false">Budget_0_4_10!D23</f>
        <v>1079.53101585632</v>
      </c>
      <c r="D30" s="17" t="str">
        <f aca="false">IF(ABS(B30-C30)&lt;0.001,"PASS","CHECK")</f>
        <v>PASS</v>
      </c>
      <c r="E30" s="4"/>
      <c r="F30" s="4"/>
      <c r="G30" s="4"/>
      <c r="H30" s="4"/>
      <c r="I30" s="4"/>
      <c r="J30" s="4"/>
      <c r="K30" s="4"/>
    </row>
    <row r="31" customFormat="false" ht="15" hidden="false" customHeight="true" outlineLevel="0" collapsed="false">
      <c r="A31" s="4" t="s">
        <v>1301</v>
      </c>
      <c r="B31" s="4" t="n">
        <v>2700</v>
      </c>
      <c r="C31" s="4" t="n">
        <f aca="false">SS_Trust_Investment!D4</f>
        <v>2700</v>
      </c>
      <c r="D31" s="4" t="str">
        <f aca="false">IF(ABS(B31-C31)&lt;0.001,"PASS","CHECK")</f>
        <v>PASS</v>
      </c>
      <c r="E31" s="4"/>
      <c r="F31" s="4"/>
      <c r="G31" s="4"/>
      <c r="H31" s="4"/>
      <c r="I31" s="4"/>
      <c r="J31" s="4"/>
      <c r="K31" s="4"/>
    </row>
    <row r="32" customFormat="false" ht="15" hidden="false" customHeight="true" outlineLevel="0" collapsed="false">
      <c r="A32" s="4" t="s">
        <v>812</v>
      </c>
      <c r="B32" s="4" t="n">
        <v>120</v>
      </c>
      <c r="C32" s="47" t="n">
        <f aca="false">National_Continuity!B29</f>
        <v>120</v>
      </c>
      <c r="D32" s="4" t="str">
        <f aca="false">IF(ABS(B32-C32)&lt;0.001,"PASS","CHECK")</f>
        <v>PASS</v>
      </c>
      <c r="E32" s="4"/>
      <c r="F32" s="4"/>
      <c r="G32" s="4"/>
      <c r="H32" s="4"/>
      <c r="I32" s="4"/>
      <c r="J32" s="4"/>
      <c r="K32" s="4"/>
    </row>
    <row r="33" customFormat="false" ht="15" hidden="false" customHeight="true" outlineLevel="0" collapsed="false">
      <c r="A33" s="4" t="s">
        <v>1302</v>
      </c>
      <c r="B33" s="4" t="n">
        <v>0</v>
      </c>
      <c r="C33" s="47" t="n">
        <f aca="false">SS_Year_0_4_10!B29</f>
        <v>0</v>
      </c>
      <c r="D33" s="4" t="str">
        <f aca="false">IF(ABS(B33-C33)&lt;0.001,"PASS","CHECK")</f>
        <v>PASS</v>
      </c>
      <c r="E33" s="4"/>
      <c r="F33" s="4"/>
      <c r="G33" s="4"/>
      <c r="H33" s="4"/>
      <c r="I33" s="4"/>
      <c r="J33" s="4"/>
      <c r="K33" s="4"/>
    </row>
    <row r="34" customFormat="false" ht="15" hidden="false" customHeight="true" outlineLevel="0" collapsed="false">
      <c r="A34" s="4" t="s">
        <v>1303</v>
      </c>
      <c r="B34" s="143" t="n">
        <f aca="false">Noncitizen_SS_Model!B17</f>
        <v>52.40796418688</v>
      </c>
      <c r="C34" s="4" t="n">
        <f aca="false">Noncitizen_SS_Model!B16-Noncitizen_SS_Model!B15</f>
        <v>52.40796418688</v>
      </c>
      <c r="D34" s="4" t="str">
        <f aca="false">IF(ABS(B34-C34)&lt;0.001,"PASS","CHECK")</f>
        <v>PASS</v>
      </c>
      <c r="E34" s="4"/>
      <c r="F34" s="4"/>
      <c r="G34" s="4"/>
      <c r="H34" s="4"/>
      <c r="I34" s="4"/>
      <c r="J34" s="4"/>
      <c r="K34" s="4"/>
    </row>
    <row r="35" customFormat="false" ht="15" hidden="false" customHeight="true" outlineLevel="0" collapsed="false">
      <c r="A35" s="4" t="s">
        <v>985</v>
      </c>
      <c r="B35" s="143" t="n">
        <f aca="false">Noncitizen_SS_Model!B22</f>
        <v>2.22138995628</v>
      </c>
      <c r="C35" s="4" t="n">
        <f aca="false">319391*579.59*12/1000000000</f>
        <v>2.22138995628</v>
      </c>
      <c r="D35" s="4" t="str">
        <f aca="false">IF(ABS(B35-C35)&lt;0.001,"PASS","CHECK")</f>
        <v>PASS</v>
      </c>
      <c r="E35" s="4"/>
      <c r="F35" s="4"/>
      <c r="G35" s="4"/>
      <c r="H35" s="4"/>
      <c r="I35" s="4"/>
      <c r="J35" s="4"/>
      <c r="K35" s="4"/>
    </row>
    <row r="36" customFormat="false" ht="15" hidden="false" customHeight="true" outlineLevel="0" collapsed="false">
      <c r="A36" s="4" t="s">
        <v>1304</v>
      </c>
      <c r="B36" s="4" t="n">
        <v>0</v>
      </c>
      <c r="C36" s="143" t="n">
        <f aca="false">Noncitizen_SS_Model!B36</f>
        <v>0</v>
      </c>
      <c r="D36" s="4" t="str">
        <f aca="false">IF(ABS(B36-C36)&lt;0.001,"PASS","CHECK")</f>
        <v>PASS</v>
      </c>
      <c r="E36" s="4"/>
      <c r="F36" s="4"/>
      <c r="G36" s="4"/>
      <c r="H36" s="4"/>
      <c r="I36" s="4"/>
      <c r="J36" s="4"/>
      <c r="K36" s="4"/>
    </row>
    <row r="37" customFormat="false" ht="15" hidden="false" customHeight="true" outlineLevel="0" collapsed="false">
      <c r="A37" s="4" t="s">
        <v>1305</v>
      </c>
      <c r="B37" s="4" t="n">
        <v>0.0073</v>
      </c>
      <c r="C37" s="47" t="n">
        <f aca="false">National_Continuity!B7</f>
        <v>0.0073</v>
      </c>
      <c r="D37" s="4" t="str">
        <f aca="false">IF(ABS(B37-C37)&lt;0.000001,"PASS","CHECK")</f>
        <v>PASS</v>
      </c>
      <c r="E37" s="4"/>
      <c r="F37" s="4"/>
      <c r="G37" s="4"/>
      <c r="H37" s="4"/>
      <c r="I37" s="4"/>
      <c r="J37" s="4"/>
      <c r="K37" s="4"/>
    </row>
    <row r="38" customFormat="false" ht="15" hidden="false" customHeight="true" outlineLevel="0" collapsed="false">
      <c r="A38" s="4" t="s">
        <v>1306</v>
      </c>
      <c r="B38" s="4" t="n">
        <v>0</v>
      </c>
      <c r="C38" s="47" t="n">
        <f aca="false">SS_Year_0_4_10!B29</f>
        <v>0</v>
      </c>
      <c r="D38" s="4" t="str">
        <f aca="false">IF(ABS(B38-C38)&lt;0.001,"PASS","CHECK")</f>
        <v>PASS</v>
      </c>
      <c r="E38" s="4"/>
      <c r="F38" s="4"/>
      <c r="G38" s="4"/>
      <c r="H38" s="4"/>
      <c r="I38" s="4"/>
      <c r="J38" s="4"/>
      <c r="K38" s="4"/>
    </row>
    <row r="39" customFormat="false" ht="15" hidden="false" customHeight="true" outlineLevel="0" collapsed="false">
      <c r="A39" s="4" t="s">
        <v>1307</v>
      </c>
      <c r="B39" s="4" t="n">
        <v>0</v>
      </c>
      <c r="C39" s="47" t="n">
        <f aca="false">National_Continuity!B28</f>
        <v>0</v>
      </c>
      <c r="D39" s="4" t="str">
        <f aca="false">IF(ABS(B39-C39)&lt;0.001,"PASS","CHECK")</f>
        <v>PASS</v>
      </c>
      <c r="E39" s="4"/>
      <c r="F39" s="4"/>
      <c r="G39" s="4"/>
      <c r="H39" s="4"/>
      <c r="I39" s="4"/>
      <c r="J39" s="4"/>
      <c r="K39" s="4"/>
    </row>
    <row r="40" customFormat="false" ht="15" hidden="false" customHeight="true" outlineLevel="0" collapsed="false">
      <c r="A40" s="4" t="s">
        <v>1308</v>
      </c>
      <c r="B40" s="47" t="n">
        <f aca="false">National_Continuity!B26</f>
        <v>290.72021341688</v>
      </c>
      <c r="C40" s="4" t="n">
        <f aca="false">MAX(0,National_Continuity!B22-National_Continuity!B24)</f>
        <v>290.72021341688</v>
      </c>
      <c r="D40" s="4" t="str">
        <f aca="false">IF(ABS(B40-C40)&lt;0.001,"PASS","CHECK")</f>
        <v>PASS</v>
      </c>
      <c r="E40" s="4"/>
      <c r="F40" s="4"/>
      <c r="G40" s="4"/>
      <c r="H40" s="4"/>
      <c r="I40" s="4"/>
      <c r="J40" s="4"/>
      <c r="K40" s="4"/>
    </row>
    <row r="41" customFormat="false" ht="23.25" hidden="false" customHeight="true" outlineLevel="0" collapsed="false">
      <c r="A41" s="4" t="s">
        <v>1309</v>
      </c>
      <c r="B41" s="4"/>
      <c r="C41" s="4"/>
      <c r="D41" s="4"/>
      <c r="E41" s="4"/>
      <c r="F41" s="4"/>
      <c r="G41" s="4"/>
      <c r="H41" s="4"/>
      <c r="I41" s="4"/>
      <c r="J41" s="4"/>
      <c r="K41" s="4"/>
    </row>
    <row r="42" customFormat="false" ht="15" hidden="false" customHeight="true" outlineLevel="0" collapsed="false">
      <c r="A42" s="4" t="s">
        <v>1310</v>
      </c>
      <c r="B42" s="47" t="n">
        <f aca="false">Additional_Revenue!D16</f>
        <v>307.8</v>
      </c>
      <c r="C42" s="4" t="n">
        <f aca="false">SUM(Additional_Revenue!D5:D15)</f>
        <v>307.8</v>
      </c>
      <c r="D42" s="4" t="str">
        <f aca="false">IF(ABS(B42-C42)&lt;0.001,"PASS","CHECK")</f>
        <v>PASS</v>
      </c>
      <c r="E42" s="4"/>
      <c r="F42" s="4"/>
      <c r="G42" s="4"/>
      <c r="H42" s="4"/>
      <c r="I42" s="4"/>
      <c r="J42" s="4"/>
      <c r="K42" s="4"/>
    </row>
    <row r="43" customFormat="false" ht="15" hidden="false" customHeight="true" outlineLevel="0" collapsed="false">
      <c r="A43" s="4" t="s">
        <v>1311</v>
      </c>
      <c r="B43" s="47" t="n">
        <f aca="false">National_Continuity!B6</f>
        <v>68000</v>
      </c>
      <c r="C43" s="47" t="n">
        <f aca="false">Replacement_Summary!C68</f>
        <v>68000</v>
      </c>
      <c r="D43" s="4" t="str">
        <f aca="false">IF(ABS(B43-C43)&lt;0.001,"PASS","CHECK")</f>
        <v>PASS</v>
      </c>
      <c r="E43" s="4"/>
      <c r="F43" s="4"/>
      <c r="G43" s="4"/>
      <c r="H43" s="4"/>
      <c r="I43" s="4"/>
      <c r="J43" s="4"/>
      <c r="K43" s="4"/>
    </row>
    <row r="44" customFormat="false" ht="15" hidden="false" customHeight="true" outlineLevel="0" collapsed="false">
      <c r="A44" s="4" t="s">
        <v>1312</v>
      </c>
      <c r="B44" s="4" t="n">
        <v>2232.929</v>
      </c>
      <c r="C44" s="47" t="n">
        <f aca="false">Tax_Revenue_2024!D16</f>
        <v>2232.929</v>
      </c>
      <c r="D44" s="4" t="str">
        <f aca="false">IF(ABS(B44-C44)&lt;0.001,"PASS","CHECK")</f>
        <v>PASS</v>
      </c>
      <c r="E44" s="4"/>
      <c r="F44" s="4"/>
      <c r="G44" s="4"/>
      <c r="H44" s="4"/>
      <c r="I44" s="4"/>
      <c r="J44" s="4"/>
      <c r="K44" s="4"/>
    </row>
    <row r="45" customFormat="false" ht="15" hidden="false" customHeight="true" outlineLevel="0" collapsed="false">
      <c r="A45" s="4" t="s">
        <v>1313</v>
      </c>
      <c r="B45" s="47" t="n">
        <f aca="false">Total_Government_Revenue!B24</f>
        <v>9102.69343170247</v>
      </c>
      <c r="C45" s="4" t="n">
        <f aca="false">SUM(Total_Government_Revenue!B5:B19)</f>
        <v>9102.69343170247</v>
      </c>
      <c r="D45" s="4" t="str">
        <f aca="false">IF(ABS(B45-C45)&lt;0.001,"PASS","CHECK")</f>
        <v>PASS</v>
      </c>
      <c r="E45" s="4"/>
      <c r="F45" s="4"/>
      <c r="G45" s="4"/>
      <c r="H45" s="4"/>
      <c r="I45" s="4"/>
      <c r="J45" s="4"/>
      <c r="K45" s="4"/>
    </row>
    <row r="46" customFormat="false" ht="15" hidden="false" customHeight="true" outlineLevel="0" collapsed="false">
      <c r="A46" s="4" t="s">
        <v>1314</v>
      </c>
      <c r="B46" s="47" t="n">
        <f aca="false">Total_Government_Revenue!B25</f>
        <v>5710.93123619</v>
      </c>
      <c r="C46" s="47" t="n">
        <f aca="false">Tax_Revenue_2024!D33</f>
        <v>5710.93123619</v>
      </c>
      <c r="D46" s="4" t="str">
        <f aca="false">IF(ABS(B46-C46)&lt;0.001,"PASS","CHECK")</f>
        <v>PASS</v>
      </c>
      <c r="E46" s="4"/>
      <c r="F46" s="4"/>
      <c r="G46" s="4"/>
      <c r="H46" s="4"/>
      <c r="I46" s="4"/>
      <c r="J46" s="4"/>
      <c r="K46" s="4"/>
    </row>
    <row r="47" customFormat="false" ht="15" hidden="false" customHeight="true" outlineLevel="0" collapsed="false">
      <c r="A47" s="4" t="s">
        <v>1315</v>
      </c>
      <c r="B47" s="72" t="n">
        <f aca="false">Budget_0_4_10!D23</f>
        <v>1079.53101585632</v>
      </c>
      <c r="C47" s="47" t="n">
        <f aca="false">Deficit_Views!B46</f>
        <v>1079.53101585632</v>
      </c>
      <c r="D47" s="4" t="str">
        <f aca="false">IF(ABS(B47-C47)&lt;0.001,"PASS","CHECK")</f>
        <v>PASS</v>
      </c>
      <c r="E47" s="4"/>
      <c r="F47" s="4"/>
      <c r="G47" s="4"/>
      <c r="H47" s="4"/>
      <c r="I47" s="4"/>
      <c r="J47" s="4"/>
      <c r="K47" s="4"/>
    </row>
    <row r="48" customFormat="false" ht="23.25" hidden="false" customHeight="true" outlineLevel="0" collapsed="false">
      <c r="A48" s="4" t="s">
        <v>1309</v>
      </c>
      <c r="B48" s="4"/>
      <c r="C48" s="4"/>
      <c r="D48" s="4"/>
      <c r="E48" s="4"/>
      <c r="F48" s="4"/>
      <c r="G48" s="4"/>
      <c r="H48" s="4"/>
      <c r="I48" s="4"/>
      <c r="J48" s="4"/>
      <c r="K48" s="4"/>
    </row>
    <row r="49" customFormat="false" ht="15" hidden="false" customHeight="true" outlineLevel="0" collapsed="false">
      <c r="A49" s="4"/>
      <c r="B49" s="4"/>
      <c r="C49" s="4"/>
      <c r="D49" s="4"/>
      <c r="E49" s="4"/>
      <c r="F49" s="4"/>
      <c r="G49" s="4"/>
      <c r="H49" s="4"/>
      <c r="I49" s="4"/>
      <c r="J49" s="4"/>
      <c r="K49" s="4"/>
    </row>
    <row r="50" customFormat="false" ht="15" hidden="false" customHeight="true" outlineLevel="0" collapsed="false">
      <c r="A50" s="4"/>
      <c r="B50" s="4"/>
      <c r="C50" s="4"/>
      <c r="D50" s="4"/>
      <c r="E50" s="4"/>
      <c r="F50" s="4"/>
      <c r="G50" s="4"/>
      <c r="H50" s="4"/>
      <c r="I50" s="4"/>
      <c r="J50" s="4"/>
      <c r="K50" s="4"/>
    </row>
    <row r="51" customFormat="false" ht="15" hidden="false" customHeight="true" outlineLevel="0" collapsed="false">
      <c r="A51" s="4"/>
      <c r="B51" s="4"/>
      <c r="C51" s="4"/>
      <c r="D51" s="4"/>
      <c r="E51" s="4"/>
      <c r="F51" s="4"/>
      <c r="G51" s="4"/>
      <c r="H51" s="4"/>
      <c r="I51" s="4"/>
      <c r="J51" s="4"/>
      <c r="K51" s="4"/>
    </row>
    <row r="52" customFormat="false" ht="15" hidden="false" customHeight="true" outlineLevel="0" collapsed="false">
      <c r="A52" s="4"/>
      <c r="B52" s="4"/>
      <c r="C52" s="4"/>
      <c r="D52" s="4"/>
      <c r="E52" s="4"/>
      <c r="F52" s="4"/>
      <c r="G52" s="4"/>
      <c r="H52" s="4"/>
      <c r="I52" s="4"/>
      <c r="J52" s="4"/>
      <c r="K52" s="4"/>
    </row>
    <row r="53" customFormat="false" ht="15" hidden="false" customHeight="true" outlineLevel="0" collapsed="false">
      <c r="A53" s="4"/>
      <c r="B53" s="4"/>
      <c r="C53" s="4"/>
      <c r="D53" s="4"/>
      <c r="E53" s="4"/>
      <c r="F53" s="4"/>
      <c r="G53" s="4"/>
      <c r="H53" s="4"/>
      <c r="I53" s="4"/>
      <c r="J53" s="4"/>
      <c r="K53" s="4"/>
    </row>
    <row r="54" customFormat="false" ht="15" hidden="false" customHeight="true" outlineLevel="0" collapsed="false">
      <c r="A54" s="4"/>
      <c r="B54" s="4"/>
      <c r="C54" s="4"/>
      <c r="D54" s="4"/>
      <c r="E54" s="4"/>
      <c r="F54" s="4"/>
      <c r="G54" s="4"/>
      <c r="H54" s="4"/>
      <c r="I54" s="4"/>
      <c r="J54" s="4"/>
      <c r="K54" s="4"/>
    </row>
    <row r="55" customFormat="false" ht="15" hidden="false" customHeight="true" outlineLevel="0" collapsed="false">
      <c r="A55" s="4"/>
      <c r="B55" s="4"/>
      <c r="C55" s="4"/>
      <c r="D55" s="4"/>
      <c r="E55" s="4"/>
      <c r="F55" s="4"/>
      <c r="G55" s="4"/>
      <c r="H55" s="4"/>
      <c r="I55" s="4"/>
      <c r="J55" s="4"/>
      <c r="K55" s="4"/>
    </row>
    <row r="56" customFormat="false" ht="15" hidden="false" customHeight="true" outlineLevel="0" collapsed="false">
      <c r="A56" s="4"/>
      <c r="B56" s="4"/>
      <c r="C56" s="4"/>
      <c r="D56" s="4"/>
      <c r="E56" s="4"/>
      <c r="F56" s="4"/>
      <c r="G56" s="4"/>
      <c r="H56" s="4"/>
      <c r="I56" s="4"/>
      <c r="J56" s="4"/>
      <c r="K56" s="4"/>
    </row>
    <row r="57" customFormat="false" ht="15" hidden="false" customHeight="true" outlineLevel="0" collapsed="false">
      <c r="A57" s="4"/>
      <c r="B57" s="4"/>
      <c r="C57" s="4"/>
      <c r="D57" s="4"/>
      <c r="E57" s="4"/>
      <c r="F57" s="4"/>
      <c r="G57" s="4"/>
      <c r="H57" s="4"/>
      <c r="I57" s="4"/>
      <c r="J57" s="4"/>
      <c r="K57" s="4"/>
    </row>
    <row r="58" customFormat="false" ht="15" hidden="false" customHeight="true" outlineLevel="0" collapsed="false">
      <c r="A58" s="4"/>
      <c r="B58" s="4"/>
      <c r="C58" s="4"/>
      <c r="D58" s="4"/>
      <c r="E58" s="4"/>
      <c r="F58" s="4"/>
      <c r="G58" s="4"/>
      <c r="H58" s="4"/>
      <c r="I58" s="4"/>
      <c r="J58" s="4"/>
      <c r="K58" s="4"/>
    </row>
    <row r="59" customFormat="false" ht="15" hidden="false" customHeight="true" outlineLevel="0" collapsed="false">
      <c r="A59" s="4"/>
      <c r="B59" s="4"/>
      <c r="C59" s="4"/>
      <c r="D59" s="4"/>
      <c r="E59" s="4"/>
      <c r="F59" s="4"/>
      <c r="G59" s="4"/>
      <c r="H59" s="4"/>
      <c r="I59" s="4"/>
      <c r="J59" s="4"/>
      <c r="K59" s="4"/>
    </row>
    <row r="60" customFormat="false" ht="15" hidden="false" customHeight="true" outlineLevel="0" collapsed="false">
      <c r="A60" s="4"/>
      <c r="B60" s="4"/>
      <c r="C60" s="4"/>
      <c r="D60" s="4"/>
      <c r="E60" s="4"/>
      <c r="F60" s="4"/>
      <c r="G60" s="4"/>
      <c r="H60" s="4"/>
      <c r="I60" s="4"/>
      <c r="J60" s="4"/>
      <c r="K60" s="4"/>
    </row>
    <row r="61" customFormat="false" ht="15" hidden="false" customHeight="true" outlineLevel="0" collapsed="false">
      <c r="A61" s="4"/>
      <c r="B61" s="4"/>
      <c r="C61" s="4"/>
      <c r="D61" s="4"/>
      <c r="E61" s="4"/>
      <c r="F61" s="4"/>
      <c r="G61" s="4"/>
      <c r="H61" s="4"/>
      <c r="I61" s="4"/>
      <c r="J61" s="4"/>
      <c r="K61" s="4"/>
    </row>
    <row r="62" customFormat="false" ht="15" hidden="false" customHeight="true" outlineLevel="0" collapsed="false">
      <c r="A62" s="4"/>
      <c r="B62" s="4"/>
      <c r="C62" s="4"/>
      <c r="D62" s="4"/>
      <c r="E62" s="4"/>
      <c r="F62" s="4"/>
      <c r="G62" s="4"/>
      <c r="H62" s="4"/>
      <c r="I62" s="4"/>
      <c r="J62" s="4"/>
      <c r="K62" s="4"/>
    </row>
    <row r="63" customFormat="false" ht="15" hidden="false" customHeight="true" outlineLevel="0" collapsed="false">
      <c r="A63" s="4"/>
      <c r="B63" s="4"/>
      <c r="C63" s="4"/>
      <c r="D63" s="4"/>
      <c r="E63" s="4"/>
      <c r="F63" s="4"/>
      <c r="G63" s="4"/>
      <c r="H63" s="4"/>
      <c r="I63" s="4"/>
      <c r="J63" s="4"/>
      <c r="K63" s="4"/>
    </row>
    <row r="64" customFormat="false" ht="15" hidden="false" customHeight="true" outlineLevel="0" collapsed="false">
      <c r="A64" s="4"/>
      <c r="B64" s="4"/>
      <c r="C64" s="4"/>
      <c r="D64" s="4"/>
      <c r="E64" s="4"/>
      <c r="F64" s="4"/>
      <c r="G64" s="4"/>
      <c r="H64" s="4"/>
      <c r="I64" s="4"/>
      <c r="J64" s="4"/>
      <c r="K64" s="4"/>
    </row>
    <row r="65" customFormat="false" ht="15" hidden="false" customHeight="true" outlineLevel="0" collapsed="false">
      <c r="A65" s="4"/>
      <c r="B65" s="4"/>
      <c r="C65" s="4"/>
      <c r="D65" s="4"/>
      <c r="E65" s="4"/>
      <c r="F65" s="4"/>
      <c r="G65" s="4"/>
      <c r="H65" s="4"/>
      <c r="I65" s="4"/>
      <c r="J65" s="4"/>
      <c r="K65" s="4"/>
    </row>
    <row r="66" customFormat="false" ht="15" hidden="false" customHeight="true" outlineLevel="0" collapsed="false">
      <c r="A66" s="4"/>
      <c r="B66" s="4"/>
      <c r="C66" s="4"/>
      <c r="D66" s="4"/>
      <c r="E66" s="4"/>
      <c r="F66" s="4"/>
      <c r="G66" s="4"/>
      <c r="H66" s="4"/>
      <c r="I66" s="4"/>
      <c r="J66" s="4"/>
      <c r="K66" s="4"/>
    </row>
    <row r="67" customFormat="false" ht="15" hidden="false" customHeight="true" outlineLevel="0" collapsed="false">
      <c r="A67" s="4"/>
      <c r="B67" s="4"/>
      <c r="C67" s="4"/>
      <c r="D67" s="4"/>
      <c r="E67" s="4"/>
      <c r="F67" s="4"/>
      <c r="G67" s="4"/>
      <c r="H67" s="4"/>
      <c r="I67" s="4"/>
      <c r="J67" s="4"/>
      <c r="K67" s="4"/>
    </row>
    <row r="68" customFormat="false" ht="15" hidden="false" customHeight="true" outlineLevel="0" collapsed="false">
      <c r="A68" s="4"/>
      <c r="B68" s="4"/>
      <c r="C68" s="4"/>
      <c r="D68" s="4"/>
      <c r="E68" s="4"/>
      <c r="F68" s="4"/>
      <c r="G68" s="4"/>
      <c r="H68" s="4"/>
      <c r="I68" s="4"/>
      <c r="J68" s="4"/>
      <c r="K68" s="4"/>
    </row>
    <row r="69" customFormat="false" ht="15" hidden="false" customHeight="true" outlineLevel="0" collapsed="false">
      <c r="A69" s="4"/>
      <c r="B69" s="4"/>
      <c r="C69" s="4"/>
      <c r="D69" s="4"/>
      <c r="E69" s="4"/>
      <c r="F69" s="4"/>
      <c r="G69" s="4"/>
      <c r="H69" s="4"/>
      <c r="I69" s="4"/>
      <c r="J69" s="4"/>
      <c r="K69" s="4"/>
    </row>
    <row r="70" customFormat="false" ht="15" hidden="false" customHeight="true" outlineLevel="0" collapsed="false">
      <c r="A70" s="4"/>
      <c r="B70" s="4"/>
      <c r="C70" s="4"/>
      <c r="D70" s="4"/>
      <c r="E70" s="4"/>
      <c r="F70" s="4"/>
      <c r="G70" s="4"/>
      <c r="H70" s="4"/>
      <c r="I70" s="4"/>
      <c r="J70" s="4"/>
      <c r="K70" s="4"/>
    </row>
    <row r="71" customFormat="false" ht="15" hidden="false" customHeight="true" outlineLevel="0" collapsed="false">
      <c r="A71" s="4"/>
      <c r="B71" s="4"/>
      <c r="C71" s="4"/>
      <c r="D71" s="4"/>
      <c r="E71" s="4"/>
      <c r="F71" s="4"/>
      <c r="G71" s="4"/>
      <c r="H71" s="4"/>
      <c r="I71" s="4"/>
      <c r="J71" s="4"/>
      <c r="K71" s="4"/>
    </row>
    <row r="72" customFormat="false" ht="15" hidden="false" customHeight="true" outlineLevel="0" collapsed="false">
      <c r="A72" s="4"/>
      <c r="B72" s="4"/>
      <c r="C72" s="4"/>
      <c r="D72" s="4"/>
      <c r="E72" s="4"/>
      <c r="F72" s="4"/>
      <c r="G72" s="4"/>
      <c r="H72" s="4"/>
      <c r="I72" s="4"/>
      <c r="J72" s="4"/>
      <c r="K72" s="4"/>
    </row>
    <row r="73" customFormat="false" ht="15" hidden="false" customHeight="true" outlineLevel="0" collapsed="false">
      <c r="A73" s="4"/>
      <c r="B73" s="4"/>
      <c r="C73" s="4"/>
      <c r="D73" s="4"/>
      <c r="E73" s="4"/>
      <c r="F73" s="4"/>
      <c r="G73" s="4"/>
      <c r="H73" s="4"/>
      <c r="I73" s="4"/>
      <c r="J73" s="4"/>
      <c r="K73" s="4"/>
    </row>
    <row r="74" customFormat="false" ht="15" hidden="false" customHeight="true" outlineLevel="0" collapsed="false">
      <c r="A74" s="4"/>
      <c r="B74" s="4"/>
      <c r="C74" s="4"/>
      <c r="D74" s="4"/>
      <c r="E74" s="4"/>
      <c r="F74" s="4"/>
      <c r="G74" s="4"/>
      <c r="H74" s="4"/>
      <c r="I74" s="4"/>
      <c r="J74" s="4"/>
      <c r="K74" s="4"/>
    </row>
    <row r="75" customFormat="false" ht="15" hidden="false" customHeight="true" outlineLevel="0" collapsed="false">
      <c r="A75" s="4"/>
      <c r="B75" s="4"/>
      <c r="C75" s="4"/>
      <c r="D75" s="4"/>
      <c r="E75" s="4"/>
      <c r="F75" s="4"/>
      <c r="G75" s="4"/>
      <c r="H75" s="4"/>
      <c r="I75" s="4"/>
      <c r="J75" s="4"/>
      <c r="K75" s="4"/>
    </row>
    <row r="76" customFormat="false" ht="15" hidden="false" customHeight="true" outlineLevel="0" collapsed="false">
      <c r="A76" s="4"/>
      <c r="B76" s="4"/>
      <c r="C76" s="4"/>
      <c r="D76" s="4"/>
      <c r="E76" s="4"/>
      <c r="F76" s="4"/>
      <c r="G76" s="4"/>
      <c r="H76" s="4"/>
      <c r="I76" s="4"/>
      <c r="J76" s="4"/>
      <c r="K76" s="4"/>
    </row>
    <row r="77" customFormat="false" ht="15" hidden="false" customHeight="true" outlineLevel="0" collapsed="false">
      <c r="A77" s="4"/>
      <c r="B77" s="4"/>
      <c r="C77" s="4"/>
      <c r="D77" s="4"/>
      <c r="E77" s="4"/>
      <c r="F77" s="4"/>
      <c r="G77" s="4"/>
      <c r="H77" s="4"/>
      <c r="I77" s="4"/>
      <c r="J77" s="4"/>
      <c r="K77" s="4"/>
    </row>
    <row r="78" customFormat="false" ht="15" hidden="false" customHeight="true" outlineLevel="0" collapsed="false">
      <c r="A78" s="4"/>
      <c r="B78" s="4"/>
      <c r="C78" s="4"/>
      <c r="D78" s="4"/>
      <c r="E78" s="4"/>
      <c r="F78" s="4"/>
      <c r="G78" s="4"/>
      <c r="H78" s="4"/>
      <c r="I78" s="4"/>
      <c r="J78" s="4"/>
      <c r="K78" s="4"/>
    </row>
    <row r="79" customFormat="false" ht="15" hidden="false" customHeight="true" outlineLevel="0" collapsed="false">
      <c r="A79" s="4"/>
      <c r="B79" s="4"/>
      <c r="C79" s="4"/>
      <c r="D79" s="4"/>
      <c r="E79" s="4"/>
      <c r="F79" s="4"/>
      <c r="G79" s="4"/>
      <c r="H79" s="4"/>
      <c r="I79" s="4"/>
      <c r="J79" s="4"/>
      <c r="K79" s="4"/>
    </row>
    <row r="80" customFormat="false" ht="15" hidden="false" customHeight="true" outlineLevel="0" collapsed="false">
      <c r="A80" s="4"/>
      <c r="B80" s="4"/>
      <c r="C80" s="4"/>
      <c r="D80" s="4"/>
      <c r="E80" s="4"/>
      <c r="F80" s="4"/>
      <c r="G80" s="4"/>
      <c r="H80" s="4"/>
      <c r="I80" s="4"/>
      <c r="J80" s="4"/>
      <c r="K80" s="4"/>
    </row>
    <row r="81" customFormat="false" ht="15" hidden="false" customHeight="true" outlineLevel="0" collapsed="false">
      <c r="A81" s="4"/>
      <c r="B81" s="4"/>
      <c r="C81" s="4"/>
      <c r="D81" s="4"/>
      <c r="E81" s="4"/>
      <c r="F81" s="4"/>
      <c r="G81" s="4"/>
      <c r="H81" s="4"/>
      <c r="I81" s="4"/>
      <c r="J81" s="4"/>
      <c r="K81" s="4"/>
    </row>
    <row r="82" customFormat="false" ht="15" hidden="false" customHeight="true" outlineLevel="0" collapsed="false">
      <c r="A82" s="4"/>
      <c r="B82" s="4"/>
      <c r="C82" s="4"/>
      <c r="D82" s="4"/>
      <c r="E82" s="4"/>
      <c r="F82" s="4"/>
      <c r="G82" s="4"/>
      <c r="H82" s="4"/>
      <c r="I82" s="4"/>
      <c r="J82" s="4"/>
      <c r="K82" s="4"/>
    </row>
    <row r="83" customFormat="false" ht="15" hidden="false" customHeight="true" outlineLevel="0" collapsed="false">
      <c r="A83" s="4"/>
      <c r="B83" s="4"/>
      <c r="C83" s="4"/>
      <c r="D83" s="4"/>
      <c r="E83" s="4"/>
      <c r="F83" s="4"/>
      <c r="G83" s="4"/>
      <c r="H83" s="4"/>
      <c r="I83" s="4"/>
      <c r="J83" s="4"/>
      <c r="K83" s="4"/>
    </row>
    <row r="84" customFormat="false" ht="15" hidden="false" customHeight="true" outlineLevel="0" collapsed="false">
      <c r="A84" s="4"/>
      <c r="B84" s="4"/>
      <c r="C84" s="4"/>
      <c r="D84" s="4"/>
      <c r="E84" s="4"/>
      <c r="F84" s="4"/>
      <c r="G84" s="4"/>
      <c r="H84" s="4"/>
      <c r="I84" s="4"/>
      <c r="J84" s="4"/>
      <c r="K84" s="4"/>
    </row>
    <row r="85" customFormat="false" ht="15" hidden="false" customHeight="true" outlineLevel="0" collapsed="false">
      <c r="A85" s="4"/>
      <c r="B85" s="4"/>
      <c r="C85" s="4"/>
      <c r="D85" s="4"/>
      <c r="E85" s="4"/>
      <c r="F85" s="4"/>
      <c r="G85" s="4"/>
      <c r="H85" s="4"/>
      <c r="I85" s="4"/>
      <c r="J85" s="4"/>
      <c r="K85" s="4"/>
    </row>
    <row r="86" customFormat="false" ht="15" hidden="false" customHeight="true" outlineLevel="0" collapsed="false">
      <c r="A86" s="4"/>
      <c r="B86" s="4"/>
      <c r="C86" s="4"/>
      <c r="D86" s="4"/>
      <c r="E86" s="4"/>
      <c r="F86" s="4"/>
      <c r="G86" s="4"/>
      <c r="H86" s="4"/>
      <c r="I86" s="4"/>
      <c r="J86" s="4"/>
      <c r="K86" s="4"/>
    </row>
    <row r="87" customFormat="false" ht="15" hidden="false" customHeight="true" outlineLevel="0" collapsed="false">
      <c r="A87" s="4"/>
      <c r="B87" s="4"/>
      <c r="C87" s="4"/>
      <c r="D87" s="4"/>
      <c r="E87" s="4"/>
      <c r="F87" s="4"/>
      <c r="G87" s="4"/>
      <c r="H87" s="4"/>
      <c r="I87" s="4"/>
      <c r="J87" s="4"/>
      <c r="K87" s="4"/>
    </row>
    <row r="88" customFormat="false" ht="15" hidden="false" customHeight="true" outlineLevel="0" collapsed="false">
      <c r="A88" s="4"/>
      <c r="B88" s="4"/>
      <c r="C88" s="4"/>
      <c r="D88" s="4"/>
      <c r="E88" s="4"/>
      <c r="F88" s="4"/>
      <c r="G88" s="4"/>
      <c r="H88" s="4"/>
      <c r="I88" s="4"/>
      <c r="J88" s="4"/>
      <c r="K88" s="4"/>
    </row>
    <row r="89" customFormat="false" ht="15" hidden="false" customHeight="true" outlineLevel="0" collapsed="false">
      <c r="A89" s="4"/>
      <c r="B89" s="4"/>
      <c r="C89" s="4"/>
      <c r="D89" s="4"/>
      <c r="E89" s="4"/>
      <c r="F89" s="4"/>
      <c r="G89" s="4"/>
      <c r="H89" s="4"/>
      <c r="I89" s="4"/>
      <c r="J89" s="4"/>
      <c r="K89" s="4"/>
    </row>
    <row r="90" customFormat="false" ht="15" hidden="false" customHeight="true" outlineLevel="0" collapsed="false">
      <c r="A90" s="4"/>
      <c r="B90" s="4"/>
      <c r="C90" s="4"/>
      <c r="D90" s="4"/>
      <c r="E90" s="4"/>
      <c r="F90" s="4"/>
      <c r="G90" s="4"/>
      <c r="H90" s="4"/>
      <c r="I90" s="4"/>
      <c r="J90" s="4"/>
      <c r="K90" s="4"/>
    </row>
    <row r="91" customFormat="false" ht="15" hidden="false" customHeight="true" outlineLevel="0" collapsed="false">
      <c r="A91" s="4"/>
      <c r="B91" s="4"/>
      <c r="C91" s="4"/>
      <c r="D91" s="4"/>
      <c r="E91" s="4"/>
      <c r="F91" s="4"/>
      <c r="G91" s="4"/>
      <c r="H91" s="4"/>
      <c r="I91" s="4"/>
      <c r="J91" s="4"/>
      <c r="K91" s="4"/>
    </row>
    <row r="92" customFormat="false" ht="15" hidden="false" customHeight="true" outlineLevel="0" collapsed="false">
      <c r="A92" s="4"/>
      <c r="B92" s="4"/>
      <c r="C92" s="4"/>
      <c r="D92" s="4"/>
      <c r="E92" s="4"/>
      <c r="F92" s="4"/>
      <c r="G92" s="4"/>
      <c r="H92" s="4"/>
      <c r="I92" s="4"/>
      <c r="J92" s="4"/>
      <c r="K92" s="4"/>
    </row>
    <row r="93" customFormat="false" ht="15" hidden="false" customHeight="true" outlineLevel="0" collapsed="false">
      <c r="A93" s="4"/>
      <c r="B93" s="4"/>
      <c r="C93" s="4"/>
      <c r="D93" s="4"/>
      <c r="E93" s="4"/>
      <c r="F93" s="4"/>
      <c r="G93" s="4"/>
      <c r="H93" s="4"/>
      <c r="I93" s="4"/>
      <c r="J93" s="4"/>
      <c r="K93" s="4"/>
    </row>
    <row r="94" customFormat="false" ht="15" hidden="false" customHeight="true" outlineLevel="0" collapsed="false">
      <c r="A94" s="4"/>
      <c r="B94" s="4"/>
      <c r="C94" s="4"/>
      <c r="D94" s="4"/>
      <c r="E94" s="4"/>
      <c r="F94" s="4"/>
      <c r="G94" s="4"/>
      <c r="H94" s="4"/>
      <c r="I94" s="4"/>
      <c r="J94" s="4"/>
      <c r="K94" s="4"/>
    </row>
    <row r="95" customFormat="false" ht="15" hidden="false" customHeight="true" outlineLevel="0" collapsed="false">
      <c r="A95" s="4"/>
      <c r="B95" s="4"/>
      <c r="C95" s="4"/>
      <c r="D95" s="4"/>
      <c r="E95" s="4"/>
      <c r="F95" s="4"/>
      <c r="G95" s="4"/>
      <c r="H95" s="4"/>
      <c r="I95" s="4"/>
      <c r="J95" s="4"/>
      <c r="K95" s="4"/>
    </row>
    <row r="96" customFormat="false" ht="15" hidden="false" customHeight="true" outlineLevel="0" collapsed="false">
      <c r="A96" s="4"/>
      <c r="B96" s="4"/>
      <c r="C96" s="4"/>
      <c r="D96" s="4"/>
      <c r="E96" s="4"/>
      <c r="F96" s="4"/>
      <c r="G96" s="4"/>
      <c r="H96" s="4"/>
      <c r="I96" s="4"/>
      <c r="J96" s="4"/>
      <c r="K96" s="4"/>
    </row>
    <row r="97" customFormat="false" ht="15" hidden="false" customHeight="true" outlineLevel="0" collapsed="false">
      <c r="A97" s="4"/>
      <c r="B97" s="4"/>
      <c r="C97" s="4"/>
      <c r="D97" s="4"/>
      <c r="E97" s="4"/>
      <c r="F97" s="4"/>
      <c r="G97" s="4"/>
      <c r="H97" s="4"/>
      <c r="I97" s="4"/>
      <c r="J97" s="4"/>
      <c r="K97" s="4"/>
    </row>
    <row r="98" customFormat="false" ht="15" hidden="false" customHeight="true" outlineLevel="0" collapsed="false">
      <c r="A98" s="4"/>
      <c r="B98" s="4"/>
      <c r="C98" s="4"/>
      <c r="D98" s="4"/>
      <c r="E98" s="4"/>
      <c r="F98" s="4"/>
      <c r="G98" s="4"/>
      <c r="H98" s="4"/>
      <c r="I98" s="4"/>
      <c r="J98" s="4"/>
      <c r="K98" s="4"/>
    </row>
    <row r="99" customFormat="false" ht="15" hidden="false" customHeight="true" outlineLevel="0" collapsed="false">
      <c r="A99" s="4"/>
      <c r="B99" s="4"/>
      <c r="C99" s="4"/>
      <c r="D99" s="4"/>
      <c r="E99" s="4"/>
      <c r="F99" s="4"/>
      <c r="G99" s="4"/>
      <c r="H99" s="4"/>
      <c r="I99" s="4"/>
      <c r="J99" s="4"/>
      <c r="K99" s="4"/>
    </row>
    <row r="100" customFormat="false" ht="15" hidden="false" customHeight="true" outlineLevel="0" collapsed="false">
      <c r="A100" s="4"/>
      <c r="B100" s="4"/>
      <c r="C100" s="4"/>
      <c r="D100" s="4"/>
      <c r="E100" s="4"/>
      <c r="F100" s="4"/>
      <c r="G100" s="4"/>
      <c r="H100" s="4"/>
      <c r="I100" s="4"/>
      <c r="J100" s="4"/>
      <c r="K100" s="4"/>
    </row>
  </sheetData>
  <mergeCells count="1">
    <mergeCell ref="A1:D1"/>
  </mergeCells>
  <conditionalFormatting sqref="D4:D18">
    <cfRule type="expression" priority="2" aboveAverage="0" equalAverage="0" bottom="0" percent="0" rank="0" text="" dxfId="1">
      <formula>D4="PASS"</formula>
    </cfRule>
    <cfRule type="expression" priority="3" aboveAverage="0" equalAverage="0" bottom="0" percent="0" rank="0" text="" dxfId="2">
      <formula>D4="CHECK"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18"/>
    <col collapsed="false" customWidth="true" hidden="false" outlineLevel="0" max="5" min="3" style="1" width="12"/>
    <col collapsed="false" customWidth="true" hidden="false" outlineLevel="0" max="6" min="6" style="1" width="18"/>
    <col collapsed="false" customWidth="true" hidden="false" outlineLevel="0" max="7" min="7" style="1" width="36"/>
    <col collapsed="false" customWidth="true" hidden="false" outlineLevel="0" max="8" min="8" style="1" width="44"/>
  </cols>
  <sheetData>
    <row r="1" customFormat="false" ht="18" hidden="false" customHeight="true" outlineLevel="0" collapsed="false">
      <c r="A1" s="89" t="s">
        <v>1316</v>
      </c>
      <c r="B1" s="89"/>
      <c r="C1" s="89"/>
      <c r="D1" s="89"/>
      <c r="E1" s="89"/>
      <c r="F1" s="89"/>
      <c r="G1" s="89"/>
      <c r="H1" s="89"/>
    </row>
    <row r="3" customFormat="false" ht="27.75" hidden="false" customHeight="true" outlineLevel="0" collapsed="false">
      <c r="A3" s="90" t="s">
        <v>1317</v>
      </c>
      <c r="B3" s="90" t="s">
        <v>1318</v>
      </c>
      <c r="C3" s="90" t="s">
        <v>1319</v>
      </c>
      <c r="D3" s="90" t="s">
        <v>1320</v>
      </c>
      <c r="E3" s="90" t="s">
        <v>1321</v>
      </c>
      <c r="F3" s="90" t="s">
        <v>1322</v>
      </c>
      <c r="G3" s="90" t="s">
        <v>40</v>
      </c>
      <c r="H3" s="90" t="s">
        <v>236</v>
      </c>
    </row>
    <row r="4" customFormat="false" ht="15" hidden="false" customHeight="true" outlineLevel="0" collapsed="false">
      <c r="A4" s="1" t="s">
        <v>1323</v>
      </c>
      <c r="B4" s="150" t="n">
        <v>13140</v>
      </c>
      <c r="C4" s="151" t="n">
        <v>0.02</v>
      </c>
      <c r="D4" s="151" t="n">
        <v>0.08</v>
      </c>
      <c r="E4" s="151" t="n">
        <v>0.2</v>
      </c>
      <c r="F4" s="150" t="n">
        <f aca="false">B4*D4</f>
        <v>1051.2</v>
      </c>
      <c r="G4" s="1" t="s">
        <v>1075</v>
      </c>
      <c r="H4" s="1" t="s">
        <v>1324</v>
      </c>
    </row>
    <row r="5" customFormat="false" ht="15" hidden="false" customHeight="true" outlineLevel="0" collapsed="false">
      <c r="A5" s="1" t="s">
        <v>1325</v>
      </c>
      <c r="B5" s="150" t="n">
        <v>1745</v>
      </c>
      <c r="C5" s="151" t="n">
        <v>0.1</v>
      </c>
      <c r="D5" s="151" t="n">
        <v>0.25</v>
      </c>
      <c r="E5" s="151" t="n">
        <v>0.5</v>
      </c>
      <c r="F5" s="150" t="n">
        <f aca="false">B5*D5</f>
        <v>436.25</v>
      </c>
      <c r="G5" s="1" t="s">
        <v>1075</v>
      </c>
      <c r="H5" s="1" t="s">
        <v>1326</v>
      </c>
    </row>
    <row r="6" customFormat="false" ht="15" hidden="false" customHeight="true" outlineLevel="0" collapsed="false">
      <c r="A6" s="1" t="s">
        <v>1327</v>
      </c>
      <c r="B6" s="150" t="n">
        <v>1563</v>
      </c>
      <c r="C6" s="151" t="n">
        <v>0.08</v>
      </c>
      <c r="D6" s="151" t="n">
        <v>0.2</v>
      </c>
      <c r="E6" s="151" t="n">
        <v>0.4</v>
      </c>
      <c r="F6" s="150" t="n">
        <f aca="false">B6*D6</f>
        <v>312.6</v>
      </c>
      <c r="G6" s="1" t="s">
        <v>1075</v>
      </c>
      <c r="H6" s="1" t="s">
        <v>1328</v>
      </c>
    </row>
    <row r="7" customFormat="false" ht="15" hidden="false" customHeight="true" outlineLevel="0" collapsed="false">
      <c r="A7" s="1" t="s">
        <v>1329</v>
      </c>
      <c r="B7" s="150" t="n">
        <v>408</v>
      </c>
      <c r="C7" s="151" t="n">
        <v>0.1</v>
      </c>
      <c r="D7" s="151" t="n">
        <v>0.25</v>
      </c>
      <c r="E7" s="151" t="n">
        <v>0.5</v>
      </c>
      <c r="F7" s="150" t="n">
        <f aca="false">B7*D7</f>
        <v>102</v>
      </c>
      <c r="G7" s="1" t="s">
        <v>1075</v>
      </c>
      <c r="H7" s="1" t="s">
        <v>1330</v>
      </c>
    </row>
    <row r="8" customFormat="false" ht="15" hidden="false" customHeight="true" outlineLevel="0" collapsed="false">
      <c r="A8" s="152" t="s">
        <v>1331</v>
      </c>
      <c r="B8" s="153" t="n">
        <f aca="false">SUM(B4:B7)</f>
        <v>16856</v>
      </c>
      <c r="C8" s="153"/>
      <c r="D8" s="153"/>
      <c r="E8" s="153"/>
      <c r="F8" s="153" t="n">
        <f aca="false">SUM(F4:F7)</f>
        <v>1902.05</v>
      </c>
      <c r="G8" s="152"/>
      <c r="H8" s="152"/>
    </row>
    <row r="10" customFormat="false" ht="27.75" hidden="false" customHeight="true" outlineLevel="0" collapsed="false">
      <c r="A10" s="90" t="s">
        <v>1332</v>
      </c>
      <c r="B10" s="90" t="s">
        <v>1333</v>
      </c>
      <c r="C10" s="90" t="s">
        <v>827</v>
      </c>
      <c r="D10" s="90" t="s">
        <v>1334</v>
      </c>
    </row>
    <row r="11" customFormat="false" ht="15" hidden="false" customHeight="true" outlineLevel="0" collapsed="false">
      <c r="A11" s="1" t="s">
        <v>1335</v>
      </c>
      <c r="B11" s="154" t="n">
        <v>0.1</v>
      </c>
      <c r="C11" s="1" t="s">
        <v>1336</v>
      </c>
      <c r="D11" s="1" t="s">
        <v>1337</v>
      </c>
    </row>
    <row r="12" customFormat="false" ht="15" hidden="false" customHeight="true" outlineLevel="0" collapsed="false">
      <c r="A12" s="1" t="s">
        <v>1338</v>
      </c>
      <c r="B12" s="154" t="n">
        <v>0.04</v>
      </c>
      <c r="C12" s="1" t="s">
        <v>1339</v>
      </c>
      <c r="D12" s="1" t="s">
        <v>1340</v>
      </c>
    </row>
    <row r="13" customFormat="false" ht="15" hidden="false" customHeight="true" outlineLevel="0" collapsed="false">
      <c r="A13" s="1" t="s">
        <v>1341</v>
      </c>
      <c r="B13" s="154" t="n">
        <v>0.0125</v>
      </c>
      <c r="C13" s="1" t="s">
        <v>1339</v>
      </c>
      <c r="D13" s="1" t="s">
        <v>1342</v>
      </c>
    </row>
    <row r="14" customFormat="false" ht="15" hidden="false" customHeight="true" outlineLevel="0" collapsed="false">
      <c r="A14" s="1" t="s">
        <v>1343</v>
      </c>
      <c r="B14" s="154" t="n">
        <v>0.0075</v>
      </c>
      <c r="C14" s="1" t="s">
        <v>1339</v>
      </c>
      <c r="D14" s="1" t="s">
        <v>1344</v>
      </c>
    </row>
    <row r="15" customFormat="false" ht="15" hidden="false" customHeight="true" outlineLevel="0" collapsed="false">
      <c r="A15" s="1" t="s">
        <v>1345</v>
      </c>
      <c r="B15" s="154" t="n">
        <v>0.005</v>
      </c>
      <c r="C15" s="1" t="s">
        <v>1346</v>
      </c>
      <c r="D15" s="1" t="s">
        <v>1347</v>
      </c>
    </row>
    <row r="16" customFormat="false" ht="15" hidden="false" customHeight="true" outlineLevel="0" collapsed="false">
      <c r="A16" s="1" t="s">
        <v>1348</v>
      </c>
      <c r="B16" s="154" t="n">
        <v>0.15</v>
      </c>
      <c r="C16" s="1" t="s">
        <v>1349</v>
      </c>
      <c r="D16" s="1" t="s">
        <v>1350</v>
      </c>
    </row>
    <row r="17" customFormat="false" ht="15" hidden="false" customHeight="true" outlineLevel="0" collapsed="false">
      <c r="A17" s="1" t="s">
        <v>1351</v>
      </c>
      <c r="B17" s="155" t="n">
        <v>25000</v>
      </c>
      <c r="C17" s="1" t="s">
        <v>1352</v>
      </c>
      <c r="D17" s="1" t="s">
        <v>1353</v>
      </c>
    </row>
    <row r="18" customFormat="false" ht="15" hidden="false" customHeight="true" outlineLevel="0" collapsed="false">
      <c r="A18" s="1" t="s">
        <v>1354</v>
      </c>
      <c r="B18" s="155" t="n">
        <v>100</v>
      </c>
      <c r="C18" s="1" t="s">
        <v>1355</v>
      </c>
      <c r="D18" s="1" t="s">
        <v>1356</v>
      </c>
    </row>
    <row r="20" customFormat="false" ht="41.25" hidden="false" customHeight="true" outlineLevel="0" collapsed="false">
      <c r="A20" s="90" t="s">
        <v>1357</v>
      </c>
      <c r="B20" s="90" t="s">
        <v>1358</v>
      </c>
      <c r="C20" s="90" t="s">
        <v>1359</v>
      </c>
      <c r="D20" s="90" t="s">
        <v>1360</v>
      </c>
      <c r="E20" s="90" t="s">
        <v>1361</v>
      </c>
    </row>
    <row r="21" customFormat="false" ht="15" hidden="false" customHeight="true" outlineLevel="0" collapsed="false">
      <c r="A21" s="1" t="s">
        <v>1362</v>
      </c>
      <c r="B21" s="150" t="n">
        <f aca="false">SUMPRODUCT(B4:B7,C4:C7)</f>
        <v>603.14</v>
      </c>
      <c r="C21" s="150" t="n">
        <f aca="false">B21*$B$11</f>
        <v>60.314</v>
      </c>
      <c r="D21" s="150" t="n">
        <f aca="false">B21*$B$16*($B$18/$B$17)</f>
        <v>0.361884</v>
      </c>
      <c r="E21" s="150" t="n">
        <f aca="false">B21*($B$11-$B$12-$B$13-$B$14-$B$15)+D21</f>
        <v>21.471784</v>
      </c>
    </row>
    <row r="22" customFormat="false" ht="15" hidden="false" customHeight="true" outlineLevel="0" collapsed="false">
      <c r="A22" s="1" t="s">
        <v>1363</v>
      </c>
      <c r="B22" s="150" t="n">
        <f aca="false">F8</f>
        <v>1902.05</v>
      </c>
      <c r="C22" s="150" t="n">
        <f aca="false">B22*$B$11</f>
        <v>190.205</v>
      </c>
      <c r="D22" s="150" t="n">
        <f aca="false">B22*$B$16*($B$18/$B$17)</f>
        <v>1.14123</v>
      </c>
      <c r="E22" s="150" t="n">
        <f aca="false">B22*($B$11-$B$12-$B$13-$B$14-$B$15)+D22</f>
        <v>67.71298</v>
      </c>
    </row>
    <row r="23" customFormat="false" ht="15" hidden="false" customHeight="true" outlineLevel="0" collapsed="false">
      <c r="A23" s="1" t="s">
        <v>1364</v>
      </c>
      <c r="B23" s="150" t="n">
        <f aca="false">SUMPRODUCT(B4:B7,E4:E7)</f>
        <v>4329.7</v>
      </c>
      <c r="C23" s="150" t="n">
        <f aca="false">B23*$B$11</f>
        <v>432.97</v>
      </c>
      <c r="D23" s="150" t="n">
        <f aca="false">B23*$B$16*($B$18/$B$17)</f>
        <v>2.59782</v>
      </c>
      <c r="E23" s="150" t="n">
        <f aca="false">B23*($B$11-$B$12-$B$13-$B$14-$B$15)+D23</f>
        <v>154.13732</v>
      </c>
    </row>
    <row r="24" customFormat="false" ht="15" hidden="false" customHeight="true" outlineLevel="0" collapsed="false">
      <c r="B24" s="150"/>
      <c r="C24" s="150"/>
      <c r="D24" s="150"/>
      <c r="E24" s="150"/>
    </row>
    <row r="25" customFormat="false" ht="41.25" hidden="false" customHeight="true" outlineLevel="0" collapsed="false">
      <c r="A25" s="90" t="s">
        <v>1365</v>
      </c>
      <c r="B25" s="97" t="s">
        <v>1366</v>
      </c>
      <c r="C25" s="97" t="s">
        <v>1367</v>
      </c>
      <c r="D25" s="97" t="s">
        <v>1368</v>
      </c>
      <c r="E25" s="97" t="s">
        <v>1369</v>
      </c>
    </row>
    <row r="26" customFormat="false" ht="15" hidden="false" customHeight="true" outlineLevel="0" collapsed="false">
      <c r="A26" s="1" t="s">
        <v>1370</v>
      </c>
      <c r="B26" s="150" t="n">
        <f aca="false">-SS_Hybrid_2024!D13</f>
        <v>161.42221477</v>
      </c>
      <c r="C26" s="150" t="n">
        <f aca="false">($B$11-$B$12-$B$13-$B$14-$B$15)+($B$16*$B$18/$B$17)</f>
        <v>0.0356</v>
      </c>
      <c r="D26" s="150" t="n">
        <f aca="false">B26/C26</f>
        <v>4534.3318755618</v>
      </c>
      <c r="E26" s="150" t="s">
        <v>1371</v>
      </c>
    </row>
    <row r="28" customFormat="false" ht="54.75" hidden="false" customHeight="true" outlineLevel="0" collapsed="false">
      <c r="A28" s="103" t="s">
        <v>1372</v>
      </c>
      <c r="B28" s="103"/>
      <c r="C28" s="103"/>
      <c r="D28" s="103"/>
      <c r="E28" s="103"/>
      <c r="F28" s="103"/>
      <c r="G28" s="103"/>
      <c r="H28" s="103"/>
    </row>
    <row r="30" customFormat="false" ht="15" hidden="false" customHeight="true" outlineLevel="0" collapsed="false">
      <c r="A30" s="156" t="s">
        <v>1373</v>
      </c>
    </row>
  </sheetData>
  <mergeCells count="2">
    <mergeCell ref="A1:H1"/>
    <mergeCell ref="A28:H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42"/>
    <col collapsed="false" customWidth="true" hidden="false" outlineLevel="0" max="3" min="3" style="1" width="28"/>
    <col collapsed="false" customWidth="true" hidden="false" outlineLevel="0" max="4" min="4" style="1" width="48"/>
  </cols>
  <sheetData>
    <row r="1" customFormat="false" ht="18" hidden="false" customHeight="true" outlineLevel="0" collapsed="false">
      <c r="A1" s="89" t="s">
        <v>1374</v>
      </c>
      <c r="B1" s="89"/>
      <c r="C1" s="89"/>
      <c r="D1" s="89"/>
    </row>
    <row r="3" customFormat="false" ht="15" hidden="false" customHeight="true" outlineLevel="0" collapsed="false">
      <c r="A3" s="90" t="s">
        <v>1375</v>
      </c>
      <c r="B3" s="90" t="s">
        <v>827</v>
      </c>
      <c r="C3" s="90" t="s">
        <v>1376</v>
      </c>
      <c r="D3" s="90" t="s">
        <v>236</v>
      </c>
    </row>
    <row r="4" customFormat="false" ht="15" hidden="false" customHeight="true" outlineLevel="0" collapsed="false">
      <c r="A4" s="1" t="s">
        <v>1377</v>
      </c>
      <c r="B4" s="1" t="s">
        <v>1378</v>
      </c>
      <c r="C4" s="1" t="s">
        <v>1379</v>
      </c>
      <c r="D4" s="1" t="s">
        <v>1380</v>
      </c>
    </row>
    <row r="5" customFormat="false" ht="15" hidden="false" customHeight="true" outlineLevel="0" collapsed="false">
      <c r="A5" s="1" t="s">
        <v>1381</v>
      </c>
      <c r="B5" s="1" t="s">
        <v>1382</v>
      </c>
      <c r="C5" s="1" t="s">
        <v>1383</v>
      </c>
      <c r="D5" s="1" t="s">
        <v>1384</v>
      </c>
    </row>
    <row r="6" customFormat="false" ht="15" hidden="false" customHeight="true" outlineLevel="0" collapsed="false">
      <c r="A6" s="1" t="s">
        <v>1385</v>
      </c>
      <c r="B6" s="1" t="s">
        <v>1386</v>
      </c>
      <c r="C6" s="1" t="s">
        <v>1387</v>
      </c>
      <c r="D6" s="1" t="s">
        <v>1388</v>
      </c>
    </row>
    <row r="7" customFormat="false" ht="15" hidden="false" customHeight="true" outlineLevel="0" collapsed="false">
      <c r="A7" s="1" t="s">
        <v>1389</v>
      </c>
      <c r="B7" s="1" t="s">
        <v>1390</v>
      </c>
      <c r="C7" s="1" t="s">
        <v>1391</v>
      </c>
      <c r="D7" s="1" t="s">
        <v>1392</v>
      </c>
    </row>
    <row r="8" customFormat="false" ht="15" hidden="false" customHeight="true" outlineLevel="0" collapsed="false">
      <c r="A8" s="1" t="s">
        <v>1393</v>
      </c>
      <c r="B8" s="1" t="s">
        <v>1394</v>
      </c>
      <c r="C8" s="1" t="s">
        <v>1395</v>
      </c>
      <c r="D8" s="1" t="s">
        <v>1396</v>
      </c>
    </row>
    <row r="10" customFormat="false" ht="27.75" hidden="false" customHeight="true" outlineLevel="0" collapsed="false">
      <c r="A10" s="99" t="s">
        <v>1397</v>
      </c>
      <c r="B10" s="99"/>
      <c r="C10" s="99"/>
      <c r="D10" s="99"/>
    </row>
  </sheetData>
  <mergeCells count="2">
    <mergeCell ref="A1:D1"/>
    <mergeCell ref="A10:D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3" min="3" style="1" width="10"/>
    <col collapsed="false" customWidth="true" hidden="false" outlineLevel="0" max="4" min="4" style="1" width="16"/>
    <col collapsed="false" customWidth="true" hidden="false" outlineLevel="0" max="5" min="5" style="1" width="34"/>
    <col collapsed="false" customWidth="true" hidden="false" outlineLevel="0" max="6" min="6" style="1" width="55"/>
  </cols>
  <sheetData>
    <row r="1" customFormat="false" ht="18" hidden="false" customHeight="true" outlineLevel="0" collapsed="false">
      <c r="A1" s="89" t="s">
        <v>1398</v>
      </c>
      <c r="B1" s="89"/>
      <c r="C1" s="89"/>
      <c r="D1" s="89"/>
      <c r="E1" s="89"/>
      <c r="F1" s="89"/>
    </row>
    <row r="2" customFormat="false" ht="15" hidden="false" customHeight="true" outlineLevel="0" collapsed="false">
      <c r="A2" s="17"/>
      <c r="B2" s="17"/>
      <c r="C2" s="17"/>
      <c r="D2" s="17"/>
      <c r="E2" s="17"/>
      <c r="F2" s="17"/>
    </row>
    <row r="3" customFormat="false" ht="27.75" hidden="false" customHeight="true" outlineLevel="0" collapsed="false">
      <c r="A3" s="90" t="s">
        <v>1399</v>
      </c>
      <c r="B3" s="90" t="s">
        <v>1400</v>
      </c>
      <c r="C3" s="90" t="s">
        <v>211</v>
      </c>
      <c r="D3" s="90" t="s">
        <v>212</v>
      </c>
      <c r="E3" s="90" t="s">
        <v>1401</v>
      </c>
      <c r="F3" s="90" t="s">
        <v>40</v>
      </c>
    </row>
    <row r="4" customFormat="false" ht="15" hidden="false" customHeight="true" outlineLevel="0" collapsed="false">
      <c r="A4" s="1" t="s">
        <v>1402</v>
      </c>
      <c r="B4" s="157" t="n">
        <v>117.949</v>
      </c>
      <c r="C4" s="158" t="n">
        <v>0.05</v>
      </c>
      <c r="D4" s="159" t="n">
        <f aca="false">B4*C4</f>
        <v>5.89745</v>
      </c>
      <c r="E4" s="1" t="s">
        <v>1403</v>
      </c>
      <c r="F4" s="1" t="s">
        <v>1083</v>
      </c>
    </row>
    <row r="5" customFormat="false" ht="15" hidden="false" customHeight="true" outlineLevel="0" collapsed="false">
      <c r="A5" s="1" t="s">
        <v>1404</v>
      </c>
      <c r="B5" s="157" t="n">
        <v>50.235</v>
      </c>
      <c r="C5" s="158" t="n">
        <v>0.05</v>
      </c>
      <c r="D5" s="159" t="n">
        <f aca="false">B5*C5</f>
        <v>2.51175</v>
      </c>
      <c r="E5" s="1" t="s">
        <v>1405</v>
      </c>
      <c r="F5" s="1" t="s">
        <v>1083</v>
      </c>
    </row>
    <row r="6" customFormat="false" ht="15" hidden="false" customHeight="true" outlineLevel="0" collapsed="false">
      <c r="A6" s="1" t="s">
        <v>1406</v>
      </c>
      <c r="B6" s="157" t="n">
        <v>34.922</v>
      </c>
      <c r="C6" s="158" t="n">
        <v>0.05</v>
      </c>
      <c r="D6" s="159" t="n">
        <f aca="false">B6*C6</f>
        <v>1.7461</v>
      </c>
      <c r="E6" s="1" t="s">
        <v>1407</v>
      </c>
      <c r="F6" s="1" t="s">
        <v>1083</v>
      </c>
    </row>
    <row r="7" customFormat="false" ht="15" hidden="false" customHeight="true" outlineLevel="0" collapsed="false">
      <c r="A7" s="1" t="s">
        <v>1408</v>
      </c>
      <c r="B7" s="157" t="n">
        <v>34.187</v>
      </c>
      <c r="C7" s="158" t="n">
        <v>0.05</v>
      </c>
      <c r="D7" s="159" t="n">
        <f aca="false">B7*C7</f>
        <v>1.70935</v>
      </c>
      <c r="E7" s="1" t="s">
        <v>1409</v>
      </c>
      <c r="F7" s="1" t="s">
        <v>1083</v>
      </c>
    </row>
    <row r="8" customFormat="false" ht="15" hidden="false" customHeight="true" outlineLevel="0" collapsed="false">
      <c r="A8" s="1" t="s">
        <v>1410</v>
      </c>
      <c r="B8" s="157" t="n">
        <v>77.616</v>
      </c>
      <c r="C8" s="158" t="n">
        <v>0.05</v>
      </c>
      <c r="D8" s="159" t="n">
        <f aca="false">B8*C8</f>
        <v>3.8808</v>
      </c>
      <c r="E8" s="1" t="s">
        <v>1411</v>
      </c>
      <c r="F8" s="1" t="s">
        <v>1083</v>
      </c>
    </row>
    <row r="9" customFormat="false" ht="15" hidden="false" customHeight="true" outlineLevel="0" collapsed="false">
      <c r="A9" s="1" t="s">
        <v>1412</v>
      </c>
      <c r="B9" s="157" t="n">
        <v>10.849</v>
      </c>
      <c r="C9" s="158" t="n">
        <v>0.05</v>
      </c>
      <c r="D9" s="159" t="n">
        <f aca="false">B9*C9</f>
        <v>0.54245</v>
      </c>
      <c r="E9" s="1" t="s">
        <v>1413</v>
      </c>
      <c r="F9" s="1" t="s">
        <v>1083</v>
      </c>
    </row>
    <row r="10" customFormat="false" ht="15" hidden="false" customHeight="true" outlineLevel="0" collapsed="false">
      <c r="A10" s="1" t="s">
        <v>1414</v>
      </c>
      <c r="B10" s="157" t="n">
        <v>10.255</v>
      </c>
      <c r="C10" s="158" t="n">
        <v>0.05</v>
      </c>
      <c r="D10" s="159" t="n">
        <f aca="false">B10*C10</f>
        <v>0.51275</v>
      </c>
      <c r="E10" s="1" t="s">
        <v>1415</v>
      </c>
      <c r="F10" s="1" t="s">
        <v>1083</v>
      </c>
    </row>
    <row r="11" customFormat="false" ht="15" hidden="false" customHeight="true" outlineLevel="0" collapsed="false">
      <c r="A11" s="1" t="s">
        <v>1416</v>
      </c>
      <c r="B11" s="157" t="n">
        <v>0.844</v>
      </c>
      <c r="C11" s="158" t="n">
        <v>0.05</v>
      </c>
      <c r="D11" s="159" t="n">
        <f aca="false">B11*C11</f>
        <v>0.0422</v>
      </c>
      <c r="E11" s="1" t="s">
        <v>1417</v>
      </c>
      <c r="F11" s="1" t="s">
        <v>1083</v>
      </c>
    </row>
    <row r="12" customFormat="false" ht="15" hidden="false" customHeight="true" outlineLevel="0" collapsed="false">
      <c r="A12" s="152" t="s">
        <v>1418</v>
      </c>
      <c r="B12" s="160" t="n">
        <f aca="false">SUM(B4:B11)</f>
        <v>336.857</v>
      </c>
      <c r="C12" s="153"/>
      <c r="D12" s="161" t="n">
        <f aca="false">SUM(D4:D11)</f>
        <v>16.84285</v>
      </c>
      <c r="E12" s="152"/>
      <c r="F12" s="152"/>
    </row>
    <row r="13" customFormat="false" ht="15" hidden="false" customHeight="true" outlineLevel="0" collapsed="false">
      <c r="A13" s="17"/>
      <c r="B13" s="162"/>
      <c r="C13" s="17"/>
      <c r="D13" s="17"/>
      <c r="E13" s="17"/>
      <c r="F13" s="17"/>
    </row>
    <row r="14" customFormat="false" ht="27.75" hidden="false" customHeight="true" outlineLevel="0" collapsed="false">
      <c r="A14" s="103" t="s">
        <v>1419</v>
      </c>
      <c r="B14" s="103"/>
      <c r="C14" s="103"/>
      <c r="D14" s="103"/>
      <c r="E14" s="103"/>
      <c r="F14" s="103"/>
    </row>
    <row r="15" customFormat="false" ht="15" hidden="false" customHeight="true" outlineLevel="0" collapsed="false">
      <c r="A15" s="17"/>
      <c r="B15" s="162"/>
      <c r="C15" s="17"/>
      <c r="D15" s="17"/>
      <c r="E15" s="17"/>
      <c r="F15" s="17"/>
    </row>
    <row r="16" customFormat="false" ht="15" hidden="false" customHeight="true" outlineLevel="0" collapsed="false">
      <c r="A16" s="74" t="s">
        <v>497</v>
      </c>
      <c r="B16" s="163" t="s">
        <v>211</v>
      </c>
      <c r="C16" s="74" t="s">
        <v>212</v>
      </c>
      <c r="D16" s="17"/>
      <c r="E16" s="17"/>
      <c r="F16" s="17"/>
    </row>
    <row r="17" customFormat="false" ht="15" hidden="false" customHeight="true" outlineLevel="0" collapsed="false">
      <c r="A17" s="1" t="s">
        <v>1420</v>
      </c>
      <c r="B17" s="164" t="n">
        <v>0.03</v>
      </c>
      <c r="C17" s="157" t="n">
        <f aca="false">B12*B17</f>
        <v>10.10571</v>
      </c>
      <c r="D17" s="17"/>
      <c r="E17" s="17"/>
      <c r="F17" s="17"/>
    </row>
    <row r="18" customFormat="false" ht="15" hidden="false" customHeight="true" outlineLevel="0" collapsed="false">
      <c r="A18" s="1" t="s">
        <v>1421</v>
      </c>
      <c r="B18" s="164" t="n">
        <v>0.04</v>
      </c>
      <c r="C18" s="157" t="n">
        <f aca="false">$B$12*B18</f>
        <v>13.47428</v>
      </c>
      <c r="D18" s="17"/>
      <c r="E18" s="17"/>
      <c r="F18" s="17"/>
    </row>
    <row r="19" customFormat="false" ht="15" hidden="false" customHeight="true" outlineLevel="0" collapsed="false">
      <c r="A19" s="1" t="s">
        <v>1422</v>
      </c>
      <c r="B19" s="164" t="n">
        <v>0.05</v>
      </c>
      <c r="C19" s="157" t="n">
        <f aca="false">$B$12*B19</f>
        <v>16.84285</v>
      </c>
      <c r="D19" s="17"/>
      <c r="E19" s="17"/>
      <c r="F19" s="17"/>
    </row>
  </sheetData>
  <mergeCells count="2">
    <mergeCell ref="A1:F1"/>
    <mergeCell ref="A14:F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4"/>
    <col collapsed="false" customWidth="true" hidden="false" outlineLevel="0" max="2" min="2" style="17" width="17"/>
    <col collapsed="false" customWidth="true" hidden="false" outlineLevel="0" max="4" min="3" style="17" width="13"/>
    <col collapsed="false" customWidth="true" hidden="false" outlineLevel="0" max="5" min="5" style="17" width="34"/>
    <col collapsed="false" customWidth="true" hidden="false" outlineLevel="0" max="6" min="6" style="17" width="36"/>
  </cols>
  <sheetData>
    <row r="1" customFormat="false" ht="27.75" hidden="false" customHeight="true" outlineLevel="0" collapsed="false">
      <c r="A1" s="23" t="s">
        <v>1423</v>
      </c>
      <c r="B1" s="23"/>
      <c r="C1" s="23"/>
      <c r="D1" s="23"/>
      <c r="E1" s="23"/>
      <c r="F1" s="23"/>
    </row>
    <row r="2" customFormat="false" ht="23.25" hidden="false" customHeight="true" outlineLevel="0" collapsed="false">
      <c r="A2" s="24" t="s">
        <v>1424</v>
      </c>
      <c r="B2" s="24"/>
      <c r="C2" s="24"/>
      <c r="D2" s="24"/>
      <c r="E2" s="24"/>
      <c r="F2" s="24"/>
    </row>
    <row r="4" customFormat="false" ht="23.25" hidden="false" customHeight="true" outlineLevel="0" collapsed="false">
      <c r="A4" s="19" t="s">
        <v>1425</v>
      </c>
      <c r="B4" s="19" t="s">
        <v>1426</v>
      </c>
      <c r="C4" s="19" t="s">
        <v>211</v>
      </c>
      <c r="D4" s="19" t="s">
        <v>212</v>
      </c>
      <c r="E4" s="19" t="s">
        <v>827</v>
      </c>
      <c r="F4" s="19" t="s">
        <v>40</v>
      </c>
    </row>
    <row r="5" customFormat="false" ht="23.25" hidden="false" customHeight="true" outlineLevel="0" collapsed="false">
      <c r="A5" s="21" t="s">
        <v>1427</v>
      </c>
      <c r="B5" s="22" t="n">
        <v>258.985823</v>
      </c>
      <c r="C5" s="32" t="n">
        <v>0.1</v>
      </c>
      <c r="D5" s="25" t="n">
        <f aca="false">B5*C5</f>
        <v>25.8985823</v>
      </c>
      <c r="E5" s="21" t="s">
        <v>1428</v>
      </c>
      <c r="F5" s="21" t="s">
        <v>1429</v>
      </c>
    </row>
    <row r="6" customFormat="false" ht="23.25" hidden="false" customHeight="true" outlineLevel="0" collapsed="false">
      <c r="A6" s="21" t="s">
        <v>1430</v>
      </c>
      <c r="B6" s="22" t="n">
        <v>23.724133</v>
      </c>
      <c r="C6" s="32" t="n">
        <v>0.1</v>
      </c>
      <c r="D6" s="25" t="n">
        <f aca="false">B6*C6</f>
        <v>2.3724133</v>
      </c>
      <c r="E6" s="21" t="s">
        <v>1431</v>
      </c>
      <c r="F6" s="21" t="s">
        <v>1432</v>
      </c>
    </row>
    <row r="7" customFormat="false" ht="23.25" hidden="false" customHeight="true" outlineLevel="0" collapsed="false">
      <c r="A7" s="21" t="s">
        <v>1433</v>
      </c>
      <c r="B7" s="22" t="n">
        <v>0</v>
      </c>
      <c r="C7" s="32" t="n">
        <v>0.1</v>
      </c>
      <c r="D7" s="25" t="n">
        <f aca="false">B7*C7</f>
        <v>0</v>
      </c>
      <c r="E7" s="21" t="s">
        <v>1434</v>
      </c>
      <c r="F7" s="21" t="s">
        <v>1435</v>
      </c>
    </row>
    <row r="8" customFormat="false" ht="15" hidden="false" customHeight="true" outlineLevel="0" collapsed="false">
      <c r="B8" s="29"/>
      <c r="D8" s="165"/>
    </row>
    <row r="9" customFormat="false" ht="15" hidden="false" customHeight="true" outlineLevel="0" collapsed="false">
      <c r="A9" s="27" t="s">
        <v>1436</v>
      </c>
      <c r="B9" s="28" t="n">
        <f aca="false">SUM(B5:B7)</f>
        <v>282.709956</v>
      </c>
      <c r="C9" s="27" t="s">
        <v>1437</v>
      </c>
      <c r="D9" s="28" t="n">
        <f aca="false">SUM(D5:D7)</f>
        <v>28.2709956</v>
      </c>
      <c r="E9" s="166" t="s">
        <v>1438</v>
      </c>
      <c r="F9" s="166"/>
    </row>
    <row r="11" customFormat="false" ht="23.25" hidden="false" customHeight="true" outlineLevel="0" collapsed="false">
      <c r="A11" s="24" t="s">
        <v>1439</v>
      </c>
      <c r="B11" s="24"/>
      <c r="C11" s="24"/>
      <c r="D11" s="24"/>
      <c r="E11" s="24"/>
      <c r="F11" s="24"/>
    </row>
  </sheetData>
  <mergeCells count="4">
    <mergeCell ref="A1:F1"/>
    <mergeCell ref="A2:F2"/>
    <mergeCell ref="E9:F9"/>
    <mergeCell ref="A11:F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4"/>
    <col collapsed="false" customWidth="true" hidden="false" outlineLevel="0" max="2" min="2" style="17" width="18"/>
    <col collapsed="false" customWidth="true" hidden="false" outlineLevel="0" max="3" min="3" style="17" width="14"/>
    <col collapsed="false" customWidth="true" hidden="false" outlineLevel="0" max="4" min="4" style="17" width="18"/>
    <col collapsed="false" customWidth="true" hidden="false" outlineLevel="0" max="5" min="5" style="17" width="28"/>
    <col collapsed="false" customWidth="true" hidden="false" outlineLevel="0" max="6" min="6" style="17" width="40"/>
    <col collapsed="false" customWidth="true" hidden="false" outlineLevel="0" max="7" min="7" style="17" width="16"/>
  </cols>
  <sheetData>
    <row r="1" customFormat="false" ht="27.75" hidden="false" customHeight="true" outlineLevel="0" collapsed="false">
      <c r="A1" s="23" t="s">
        <v>1440</v>
      </c>
      <c r="B1" s="23"/>
      <c r="C1" s="23"/>
      <c r="D1" s="23"/>
      <c r="E1" s="23"/>
      <c r="F1" s="23"/>
      <c r="G1" s="23"/>
    </row>
    <row r="2" customFormat="false" ht="23.25" hidden="false" customHeight="true" outlineLevel="0" collapsed="false">
      <c r="A2" s="24" t="s">
        <v>1441</v>
      </c>
      <c r="B2" s="24"/>
      <c r="C2" s="24"/>
      <c r="D2" s="24"/>
      <c r="E2" s="24"/>
      <c r="F2" s="24"/>
      <c r="G2" s="24"/>
    </row>
    <row r="4" customFormat="false" ht="23.25" hidden="false" customHeight="true" outlineLevel="0" collapsed="false">
      <c r="A4" s="19" t="s">
        <v>1442</v>
      </c>
      <c r="B4" s="19" t="s">
        <v>1443</v>
      </c>
      <c r="C4" s="19" t="s">
        <v>1444</v>
      </c>
      <c r="D4" s="19" t="s">
        <v>1445</v>
      </c>
      <c r="E4" s="19" t="s">
        <v>1446</v>
      </c>
      <c r="F4" s="19" t="s">
        <v>40</v>
      </c>
      <c r="G4" s="19" t="s">
        <v>691</v>
      </c>
    </row>
    <row r="5" customFormat="false" ht="23.25" hidden="false" customHeight="true" outlineLevel="0" collapsed="false">
      <c r="A5" s="21" t="s">
        <v>1447</v>
      </c>
      <c r="B5" s="22" t="n">
        <v>69.874829247</v>
      </c>
      <c r="C5" s="32" t="n">
        <v>0.1</v>
      </c>
      <c r="D5" s="25" t="n">
        <f aca="false">B5*C5</f>
        <v>6.9874829247</v>
      </c>
      <c r="E5" s="21" t="s">
        <v>1448</v>
      </c>
      <c r="F5" s="21" t="s">
        <v>1449</v>
      </c>
      <c r="G5" s="21" t="s">
        <v>1450</v>
      </c>
    </row>
    <row r="6" customFormat="false" ht="23.25" hidden="false" customHeight="true" outlineLevel="0" collapsed="false">
      <c r="A6" s="21" t="s">
        <v>1451</v>
      </c>
      <c r="B6" s="22" t="n">
        <v>373.570967914</v>
      </c>
      <c r="C6" s="32" t="n">
        <v>0.1</v>
      </c>
      <c r="D6" s="25" t="n">
        <f aca="false">B6*C6</f>
        <v>37.3570967914</v>
      </c>
      <c r="E6" s="21" t="s">
        <v>1448</v>
      </c>
      <c r="F6" s="21" t="s">
        <v>1449</v>
      </c>
      <c r="G6" s="21" t="s">
        <v>1450</v>
      </c>
    </row>
    <row r="7" customFormat="false" ht="23.25" hidden="false" customHeight="true" outlineLevel="0" collapsed="false">
      <c r="A7" s="21" t="s">
        <v>1452</v>
      </c>
      <c r="B7" s="22" t="n">
        <v>985.756130729</v>
      </c>
      <c r="C7" s="32" t="n">
        <v>0.1</v>
      </c>
      <c r="D7" s="25" t="n">
        <f aca="false">B7*C7</f>
        <v>98.5756130729</v>
      </c>
      <c r="E7" s="21" t="s">
        <v>1448</v>
      </c>
      <c r="F7" s="21" t="s">
        <v>1449</v>
      </c>
      <c r="G7" s="21" t="s">
        <v>1450</v>
      </c>
    </row>
    <row r="8" customFormat="false" ht="15" hidden="false" customHeight="true" outlineLevel="0" collapsed="false">
      <c r="B8" s="29"/>
      <c r="C8" s="167"/>
      <c r="D8" s="165"/>
    </row>
    <row r="9" customFormat="false" ht="24" hidden="false" customHeight="true" outlineLevel="0" collapsed="false">
      <c r="A9" s="27" t="s">
        <v>1453</v>
      </c>
      <c r="B9" s="28" t="n">
        <f aca="false">SUM(B5:B7)</f>
        <v>1429.20192789</v>
      </c>
      <c r="C9" s="168" t="n">
        <f aca="false">C5</f>
        <v>0.1</v>
      </c>
      <c r="D9" s="28" t="n">
        <f aca="false">SUM(D5:D7)</f>
        <v>142.920192789</v>
      </c>
      <c r="E9" s="27" t="s">
        <v>1454</v>
      </c>
      <c r="F9" s="27" t="s">
        <v>1455</v>
      </c>
      <c r="G9" s="27" t="s">
        <v>896</v>
      </c>
    </row>
    <row r="11" customFormat="false" ht="23.25" hidden="false" customHeight="true" outlineLevel="0" collapsed="false">
      <c r="A11" s="24" t="s">
        <v>1456</v>
      </c>
      <c r="B11" s="24"/>
      <c r="C11" s="24"/>
      <c r="D11" s="24"/>
      <c r="E11" s="24"/>
      <c r="F11" s="24"/>
      <c r="G11" s="24"/>
    </row>
  </sheetData>
  <mergeCells count="3">
    <mergeCell ref="A1:G1"/>
    <mergeCell ref="A2:G2"/>
    <mergeCell ref="A11:G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0"/>
    <col collapsed="false" customWidth="true" hidden="false" outlineLevel="0" max="2" min="2" style="17" width="15"/>
    <col collapsed="false" customWidth="true" hidden="false" outlineLevel="0" max="3" min="3" style="17" width="16"/>
    <col collapsed="false" customWidth="true" hidden="false" outlineLevel="0" max="4" min="4" style="17" width="15"/>
    <col collapsed="false" customWidth="true" hidden="false" outlineLevel="0" max="5" min="5" style="17" width="18"/>
    <col collapsed="false" customWidth="true" hidden="false" outlineLevel="0" max="7" min="6" style="17" width="14"/>
    <col collapsed="false" customWidth="true" hidden="false" outlineLevel="0" max="9" min="8" style="17" width="17"/>
    <col collapsed="false" customWidth="true" hidden="false" outlineLevel="0" max="10" min="10" style="17" width="50"/>
    <col collapsed="false" customWidth="true" hidden="false" outlineLevel="0" max="11" min="11" style="17" width="18"/>
  </cols>
  <sheetData>
    <row r="1" customFormat="false" ht="27.75" hidden="false" customHeight="true" outlineLevel="0" collapsed="false">
      <c r="A1" s="23" t="s">
        <v>1457</v>
      </c>
      <c r="B1" s="23"/>
      <c r="C1" s="23"/>
      <c r="D1" s="23"/>
      <c r="E1" s="23"/>
      <c r="F1" s="23"/>
      <c r="G1" s="23"/>
      <c r="H1" s="23"/>
      <c r="I1" s="23"/>
      <c r="J1" s="23"/>
      <c r="K1" s="23"/>
    </row>
    <row r="2" customFormat="false" ht="23.25" hidden="false" customHeight="true" outlineLevel="0" collapsed="false">
      <c r="A2" s="24" t="s">
        <v>1458</v>
      </c>
      <c r="B2" s="24"/>
      <c r="C2" s="24"/>
      <c r="D2" s="24"/>
      <c r="E2" s="24"/>
      <c r="F2" s="24"/>
      <c r="G2" s="24"/>
      <c r="H2" s="24"/>
      <c r="I2" s="24"/>
      <c r="J2" s="24"/>
      <c r="K2" s="24"/>
    </row>
    <row r="4" customFormat="false" ht="34.5" hidden="false" customHeight="true" outlineLevel="0" collapsed="false">
      <c r="A4" s="19" t="s">
        <v>1459</v>
      </c>
      <c r="B4" s="19" t="s">
        <v>1460</v>
      </c>
      <c r="C4" s="19" t="s">
        <v>1461</v>
      </c>
      <c r="D4" s="19" t="s">
        <v>1462</v>
      </c>
      <c r="E4" s="19" t="s">
        <v>1463</v>
      </c>
      <c r="F4" s="19" t="s">
        <v>1464</v>
      </c>
      <c r="G4" s="19" t="s">
        <v>1465</v>
      </c>
      <c r="H4" s="19" t="s">
        <v>1466</v>
      </c>
      <c r="I4" s="19" t="s">
        <v>1467</v>
      </c>
      <c r="J4" s="19" t="s">
        <v>1468</v>
      </c>
      <c r="K4" s="19" t="s">
        <v>691</v>
      </c>
    </row>
    <row r="5" customFormat="false" ht="24" hidden="false" customHeight="true" outlineLevel="0" collapsed="false">
      <c r="A5" s="21" t="s">
        <v>1469</v>
      </c>
      <c r="B5" s="169" t="n">
        <v>467</v>
      </c>
      <c r="C5" s="170" t="n">
        <v>1</v>
      </c>
      <c r="D5" s="170" t="n">
        <v>0.75</v>
      </c>
      <c r="E5" s="170" t="n">
        <v>0.18</v>
      </c>
      <c r="F5" s="171" t="n">
        <v>18</v>
      </c>
      <c r="G5" s="172" t="n">
        <f aca="false">IF(F5&gt;10,MIN(50%,INT(F5-10)*0.5%),0)</f>
        <v>0.04</v>
      </c>
      <c r="H5" s="25" t="n">
        <f aca="false">B5*C5*D5*E5</f>
        <v>63.045</v>
      </c>
      <c r="I5" s="25" t="n">
        <f aca="false">H5*G5</f>
        <v>2.5218</v>
      </c>
      <c r="J5" s="21" t="s">
        <v>1470</v>
      </c>
      <c r="K5" s="21" t="s">
        <v>1471</v>
      </c>
    </row>
    <row r="6" customFormat="false" ht="24" hidden="false" customHeight="true" outlineLevel="0" collapsed="false">
      <c r="A6" s="21" t="s">
        <v>1472</v>
      </c>
      <c r="B6" s="169" t="n">
        <v>65.989</v>
      </c>
      <c r="C6" s="170" t="n">
        <v>0.9</v>
      </c>
      <c r="D6" s="170" t="n">
        <v>0.35</v>
      </c>
      <c r="E6" s="170" t="n">
        <v>0.12</v>
      </c>
      <c r="F6" s="171" t="n">
        <v>16</v>
      </c>
      <c r="G6" s="172" t="n">
        <f aca="false">IF(F6&gt;10,MIN(50%,INT(F6-10)*0.5%),0)</f>
        <v>0.03</v>
      </c>
      <c r="H6" s="25" t="n">
        <f aca="false">B6*C6*D6*E6</f>
        <v>2.4943842</v>
      </c>
      <c r="I6" s="25" t="n">
        <f aca="false">H6*G6</f>
        <v>0.074831526</v>
      </c>
      <c r="J6" s="21" t="s">
        <v>1473</v>
      </c>
      <c r="K6" s="21" t="s">
        <v>1471</v>
      </c>
    </row>
    <row r="7" customFormat="false" ht="24" hidden="false" customHeight="true" outlineLevel="0" collapsed="false">
      <c r="A7" s="21" t="s">
        <v>1474</v>
      </c>
      <c r="B7" s="169" t="n">
        <v>91.183</v>
      </c>
      <c r="C7" s="170" t="n">
        <v>0.95</v>
      </c>
      <c r="D7" s="170" t="n">
        <v>0.7</v>
      </c>
      <c r="E7" s="170" t="n">
        <v>0.05</v>
      </c>
      <c r="F7" s="171" t="n">
        <v>14</v>
      </c>
      <c r="G7" s="172" t="n">
        <f aca="false">IF(F7&gt;10,MIN(50%,INT(F7-10)*0.5%),0)</f>
        <v>0.02</v>
      </c>
      <c r="H7" s="25" t="n">
        <f aca="false">B7*C7*D7*E7</f>
        <v>3.03183475</v>
      </c>
      <c r="I7" s="25" t="n">
        <f aca="false">H7*G7</f>
        <v>0.060636695</v>
      </c>
      <c r="J7" s="21" t="s">
        <v>1475</v>
      </c>
      <c r="K7" s="21" t="s">
        <v>1471</v>
      </c>
    </row>
    <row r="8" customFormat="false" ht="24" hidden="false" customHeight="true" outlineLevel="0" collapsed="false">
      <c r="A8" s="21" t="s">
        <v>1476</v>
      </c>
      <c r="B8" s="169" t="n">
        <v>134.398</v>
      </c>
      <c r="C8" s="170" t="n">
        <v>0.95</v>
      </c>
      <c r="D8" s="170" t="n">
        <v>0.55</v>
      </c>
      <c r="E8" s="170" t="n">
        <v>0.06</v>
      </c>
      <c r="F8" s="171" t="n">
        <v>14</v>
      </c>
      <c r="G8" s="172" t="n">
        <f aca="false">IF(F8&gt;10,MIN(50%,INT(F8-10)*0.5%),0)</f>
        <v>0.02</v>
      </c>
      <c r="H8" s="25" t="n">
        <f aca="false">B8*C8*D8*E8</f>
        <v>4.2133773</v>
      </c>
      <c r="I8" s="25" t="n">
        <f aca="false">H8*G8</f>
        <v>0.084267546</v>
      </c>
      <c r="J8" s="21" t="s">
        <v>1477</v>
      </c>
      <c r="K8" s="21" t="s">
        <v>1471</v>
      </c>
    </row>
    <row r="9" customFormat="false" ht="24" hidden="false" customHeight="true" outlineLevel="0" collapsed="false">
      <c r="A9" s="21" t="s">
        <v>1478</v>
      </c>
      <c r="B9" s="169" t="n">
        <v>41.862</v>
      </c>
      <c r="C9" s="170" t="n">
        <v>0.9</v>
      </c>
      <c r="D9" s="170" t="n">
        <v>0.25</v>
      </c>
      <c r="E9" s="170" t="n">
        <v>0.05</v>
      </c>
      <c r="F9" s="171" t="n">
        <v>13</v>
      </c>
      <c r="G9" s="172" t="n">
        <f aca="false">IF(F9&gt;10,MIN(50%,INT(F9-10)*0.5%),0)</f>
        <v>0.015</v>
      </c>
      <c r="H9" s="25" t="n">
        <f aca="false">B9*C9*D9*E9</f>
        <v>0.4709475</v>
      </c>
      <c r="I9" s="25" t="n">
        <f aca="false">H9*G9</f>
        <v>0.0070642125</v>
      </c>
      <c r="J9" s="21" t="s">
        <v>1479</v>
      </c>
      <c r="K9" s="21" t="s">
        <v>1471</v>
      </c>
    </row>
    <row r="10" customFormat="false" ht="24" hidden="false" customHeight="true" outlineLevel="0" collapsed="false">
      <c r="A10" s="21" t="s">
        <v>1480</v>
      </c>
      <c r="B10" s="169" t="n">
        <v>71.782</v>
      </c>
      <c r="C10" s="170" t="n">
        <v>0.8</v>
      </c>
      <c r="D10" s="170" t="n">
        <v>0.9</v>
      </c>
      <c r="E10" s="170" t="n">
        <v>0.04</v>
      </c>
      <c r="F10" s="171" t="n">
        <v>13</v>
      </c>
      <c r="G10" s="172" t="n">
        <f aca="false">IF(F10&gt;10,MIN(50%,INT(F10-10)*0.5%),0)</f>
        <v>0.015</v>
      </c>
      <c r="H10" s="25" t="n">
        <f aca="false">B10*C10*D10*E10</f>
        <v>2.0673216</v>
      </c>
      <c r="I10" s="25" t="n">
        <f aca="false">H10*G10</f>
        <v>0.031009824</v>
      </c>
      <c r="J10" s="21" t="s">
        <v>1481</v>
      </c>
      <c r="K10" s="21" t="s">
        <v>1471</v>
      </c>
    </row>
    <row r="11" customFormat="false" ht="24" hidden="false" customHeight="true" outlineLevel="0" collapsed="false">
      <c r="A11" s="21" t="s">
        <v>1482</v>
      </c>
      <c r="B11" s="169" t="n">
        <v>214.724</v>
      </c>
      <c r="C11" s="170" t="n">
        <v>0.9</v>
      </c>
      <c r="D11" s="170" t="n">
        <v>0.2</v>
      </c>
      <c r="E11" s="170" t="n">
        <v>0.15</v>
      </c>
      <c r="F11" s="171" t="n">
        <v>20</v>
      </c>
      <c r="G11" s="172" t="n">
        <f aca="false">IF(F11&gt;10,MIN(50%,INT(F11-10)*0.5%),0)</f>
        <v>0.05</v>
      </c>
      <c r="H11" s="25" t="n">
        <f aca="false">B11*C11*D11*E11</f>
        <v>5.797548</v>
      </c>
      <c r="I11" s="25" t="n">
        <f aca="false">H11*G11</f>
        <v>0.2898774</v>
      </c>
      <c r="J11" s="21" t="s">
        <v>1483</v>
      </c>
      <c r="K11" s="21" t="s">
        <v>1471</v>
      </c>
    </row>
    <row r="12" customFormat="false" ht="24" hidden="false" customHeight="true" outlineLevel="0" collapsed="false">
      <c r="A12" s="21" t="s">
        <v>1484</v>
      </c>
      <c r="B12" s="169" t="n">
        <v>38.487</v>
      </c>
      <c r="C12" s="170" t="n">
        <v>0.95</v>
      </c>
      <c r="D12" s="170" t="n">
        <v>0.4</v>
      </c>
      <c r="E12" s="170" t="n">
        <v>0.2</v>
      </c>
      <c r="F12" s="171" t="n">
        <v>22</v>
      </c>
      <c r="G12" s="172" t="n">
        <f aca="false">IF(F12&gt;10,MIN(50%,INT(F12-10)*0.5%),0)</f>
        <v>0.06</v>
      </c>
      <c r="H12" s="25" t="n">
        <f aca="false">B12*C12*D12*E12</f>
        <v>2.925012</v>
      </c>
      <c r="I12" s="25" t="n">
        <f aca="false">H12*G12</f>
        <v>0.17550072</v>
      </c>
      <c r="J12" s="21" t="s">
        <v>1485</v>
      </c>
      <c r="K12" s="21" t="s">
        <v>1471</v>
      </c>
    </row>
    <row r="13" customFormat="false" ht="24" hidden="false" customHeight="true" outlineLevel="0" collapsed="false">
      <c r="A13" s="21" t="s">
        <v>1486</v>
      </c>
      <c r="B13" s="169" t="n">
        <v>58.725</v>
      </c>
      <c r="C13" s="170" t="n">
        <v>0.9</v>
      </c>
      <c r="D13" s="170" t="n">
        <v>0.5</v>
      </c>
      <c r="E13" s="170" t="n">
        <v>0.07</v>
      </c>
      <c r="F13" s="171" t="n">
        <v>15</v>
      </c>
      <c r="G13" s="172" t="n">
        <f aca="false">IF(F13&gt;10,MIN(50%,INT(F13-10)*0.5%),0)</f>
        <v>0.025</v>
      </c>
      <c r="H13" s="25" t="n">
        <f aca="false">B13*C13*D13*E13</f>
        <v>1.8498375</v>
      </c>
      <c r="I13" s="25" t="n">
        <f aca="false">H13*G13</f>
        <v>0.0462459375</v>
      </c>
      <c r="J13" s="21" t="s">
        <v>1487</v>
      </c>
      <c r="K13" s="21" t="s">
        <v>1471</v>
      </c>
    </row>
    <row r="14" customFormat="false" ht="24" hidden="false" customHeight="true" outlineLevel="0" collapsed="false">
      <c r="A14" s="21" t="s">
        <v>1488</v>
      </c>
      <c r="B14" s="169" t="n">
        <v>7.812</v>
      </c>
      <c r="C14" s="170" t="n">
        <v>0.9</v>
      </c>
      <c r="D14" s="170" t="n">
        <v>0.2</v>
      </c>
      <c r="E14" s="170" t="n">
        <v>0.15</v>
      </c>
      <c r="F14" s="171" t="n">
        <v>25</v>
      </c>
      <c r="G14" s="172" t="n">
        <f aca="false">IF(F14&gt;10,MIN(50%,INT(F14-10)*0.5%),0)</f>
        <v>0.075</v>
      </c>
      <c r="H14" s="25" t="n">
        <f aca="false">B14*C14*D14*E14</f>
        <v>0.210924</v>
      </c>
      <c r="I14" s="25" t="n">
        <f aca="false">H14*G14</f>
        <v>0.0158193</v>
      </c>
      <c r="J14" s="21" t="s">
        <v>1489</v>
      </c>
      <c r="K14" s="21" t="s">
        <v>1471</v>
      </c>
    </row>
    <row r="15" customFormat="false" ht="15" hidden="false" customHeight="true" outlineLevel="0" collapsed="false">
      <c r="B15" s="29"/>
      <c r="G15" s="173"/>
      <c r="H15" s="165"/>
      <c r="I15" s="165"/>
    </row>
    <row r="16" customFormat="false" ht="25.5" hidden="false" customHeight="true" outlineLevel="0" collapsed="false">
      <c r="A16" s="27" t="s">
        <v>1490</v>
      </c>
      <c r="B16" s="28" t="n">
        <f aca="false">SUM(B5:B14)</f>
        <v>1191.962</v>
      </c>
      <c r="C16" s="27"/>
      <c r="D16" s="27"/>
      <c r="E16" s="27"/>
      <c r="F16" s="27"/>
      <c r="G16" s="27"/>
      <c r="H16" s="28" t="n">
        <f aca="false">SUM(H5:H14)</f>
        <v>86.10618685</v>
      </c>
      <c r="I16" s="28" t="n">
        <f aca="false">SUM(I5:I14)</f>
        <v>3.307053161</v>
      </c>
      <c r="J16" s="27" t="s">
        <v>1491</v>
      </c>
      <c r="K16" s="27" t="s">
        <v>896</v>
      </c>
    </row>
    <row r="18" customFormat="false" ht="42" hidden="false" customHeight="true" outlineLevel="0" collapsed="false">
      <c r="A18" s="24" t="s">
        <v>1492</v>
      </c>
      <c r="B18" s="24"/>
      <c r="C18" s="24"/>
      <c r="D18" s="24"/>
      <c r="E18" s="24"/>
      <c r="F18" s="24"/>
      <c r="G18" s="24"/>
      <c r="H18" s="24"/>
      <c r="I18" s="24"/>
      <c r="J18" s="24"/>
      <c r="K18" s="24"/>
    </row>
  </sheetData>
  <mergeCells count="3">
    <mergeCell ref="A1:K1"/>
    <mergeCell ref="A2:K2"/>
    <mergeCell ref="A18:K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6"/>
    <col collapsed="false" customWidth="true" hidden="false" outlineLevel="0" max="2" min="2" style="17" width="18"/>
    <col collapsed="false" customWidth="true" hidden="false" outlineLevel="0" max="3" min="3" style="17" width="14"/>
    <col collapsed="false" customWidth="true" hidden="false" outlineLevel="0" max="4" min="4" style="17" width="18"/>
    <col collapsed="false" customWidth="true" hidden="false" outlineLevel="0" max="5" min="5" style="17" width="32"/>
    <col collapsed="false" customWidth="true" hidden="false" outlineLevel="0" max="6" min="6" style="17" width="38"/>
  </cols>
  <sheetData>
    <row r="1" customFormat="false" ht="27.75" hidden="false" customHeight="true" outlineLevel="0" collapsed="false">
      <c r="A1" s="23" t="s">
        <v>1493</v>
      </c>
      <c r="B1" s="23"/>
      <c r="C1" s="23"/>
      <c r="D1" s="23"/>
      <c r="E1" s="23"/>
      <c r="F1" s="23"/>
    </row>
    <row r="2" customFormat="false" ht="23.25" hidden="false" customHeight="true" outlineLevel="0" collapsed="false">
      <c r="A2" s="24" t="s">
        <v>1494</v>
      </c>
      <c r="B2" s="24"/>
      <c r="C2" s="24"/>
      <c r="D2" s="24"/>
      <c r="E2" s="24"/>
      <c r="F2" s="24"/>
    </row>
    <row r="4" customFormat="false" ht="23.25" hidden="false" customHeight="true" outlineLevel="0" collapsed="false">
      <c r="A4" s="19" t="s">
        <v>348</v>
      </c>
      <c r="B4" s="19" t="s">
        <v>1495</v>
      </c>
      <c r="C4" s="19" t="s">
        <v>211</v>
      </c>
      <c r="D4" s="19" t="s">
        <v>1496</v>
      </c>
      <c r="E4" s="19" t="s">
        <v>827</v>
      </c>
      <c r="F4" s="19" t="s">
        <v>1497</v>
      </c>
    </row>
    <row r="5" customFormat="false" ht="15" hidden="false" customHeight="true" outlineLevel="0" collapsed="false">
      <c r="A5" s="21" t="s">
        <v>1498</v>
      </c>
      <c r="B5" s="22" t="n">
        <v>138</v>
      </c>
      <c r="C5" s="21"/>
      <c r="D5" s="25"/>
      <c r="E5" s="21" t="s">
        <v>1499</v>
      </c>
      <c r="F5" s="21" t="s">
        <v>1500</v>
      </c>
    </row>
    <row r="6" customFormat="false" ht="15" hidden="false" customHeight="true" outlineLevel="0" collapsed="false">
      <c r="A6" s="21" t="s">
        <v>1501</v>
      </c>
      <c r="B6" s="22" t="n">
        <v>180</v>
      </c>
      <c r="C6" s="21"/>
      <c r="D6" s="25"/>
      <c r="E6" s="21" t="s">
        <v>1499</v>
      </c>
      <c r="F6" s="21" t="s">
        <v>1502</v>
      </c>
    </row>
    <row r="7" customFormat="false" ht="15" hidden="false" customHeight="true" outlineLevel="0" collapsed="false">
      <c r="A7" s="21" t="s">
        <v>1503</v>
      </c>
      <c r="B7" s="25" t="n">
        <f aca="false">SUM(B5:B6)</f>
        <v>318</v>
      </c>
      <c r="C7" s="21"/>
      <c r="D7" s="25"/>
      <c r="E7" s="21" t="s">
        <v>1504</v>
      </c>
      <c r="F7" s="21" t="s">
        <v>1505</v>
      </c>
    </row>
    <row r="8" customFormat="false" ht="15" hidden="false" customHeight="true" outlineLevel="0" collapsed="false">
      <c r="A8" s="21" t="s">
        <v>1506</v>
      </c>
      <c r="B8" s="174" t="n">
        <v>0.25</v>
      </c>
      <c r="C8" s="21"/>
      <c r="D8" s="25"/>
      <c r="E8" s="21" t="s">
        <v>1507</v>
      </c>
      <c r="F8" s="21" t="s">
        <v>1508</v>
      </c>
    </row>
    <row r="9" customFormat="false" ht="15" hidden="false" customHeight="true" outlineLevel="0" collapsed="false">
      <c r="A9" s="21" t="s">
        <v>1509</v>
      </c>
      <c r="B9" s="25" t="n">
        <f aca="false">B7*B8</f>
        <v>79.5</v>
      </c>
      <c r="C9" s="172" t="n">
        <v>0.05</v>
      </c>
      <c r="D9" s="25" t="n">
        <f aca="false">B9*C9</f>
        <v>3.975</v>
      </c>
      <c r="E9" s="21" t="s">
        <v>1510</v>
      </c>
      <c r="F9" s="21" t="s">
        <v>1511</v>
      </c>
    </row>
    <row r="10" customFormat="false" ht="15" hidden="false" customHeight="true" outlineLevel="0" collapsed="false">
      <c r="A10" s="21" t="s">
        <v>1512</v>
      </c>
      <c r="B10" s="174" t="n">
        <v>0.25</v>
      </c>
      <c r="C10" s="172"/>
      <c r="D10" s="25"/>
      <c r="E10" s="21" t="s">
        <v>1513</v>
      </c>
      <c r="F10" s="21" t="s">
        <v>1508</v>
      </c>
    </row>
    <row r="11" customFormat="false" ht="15" hidden="false" customHeight="true" outlineLevel="0" collapsed="false">
      <c r="A11" s="21" t="s">
        <v>1514</v>
      </c>
      <c r="B11" s="174" t="n">
        <v>0.5</v>
      </c>
      <c r="C11" s="172"/>
      <c r="D11" s="25"/>
      <c r="E11" s="21" t="s">
        <v>1515</v>
      </c>
      <c r="F11" s="21" t="s">
        <v>1508</v>
      </c>
    </row>
    <row r="12" customFormat="false" ht="15" hidden="false" customHeight="true" outlineLevel="0" collapsed="false">
      <c r="A12" s="21" t="s">
        <v>1516</v>
      </c>
      <c r="B12" s="25" t="n">
        <f aca="false">B7*B10*B11</f>
        <v>39.75</v>
      </c>
      <c r="C12" s="172" t="n">
        <v>0.1</v>
      </c>
      <c r="D12" s="25" t="n">
        <f aca="false">B12*C12</f>
        <v>3.975</v>
      </c>
      <c r="E12" s="21" t="s">
        <v>1517</v>
      </c>
      <c r="F12" s="21" t="s">
        <v>1511</v>
      </c>
    </row>
    <row r="13" customFormat="false" ht="15" hidden="false" customHeight="true" outlineLevel="0" collapsed="false">
      <c r="D13" s="165"/>
    </row>
    <row r="14" customFormat="false" ht="15" hidden="false" customHeight="true" outlineLevel="0" collapsed="false">
      <c r="A14" s="27" t="s">
        <v>1518</v>
      </c>
      <c r="B14" s="27"/>
      <c r="C14" s="27"/>
      <c r="D14" s="28" t="n">
        <f aca="false">D9+D12</f>
        <v>7.95</v>
      </c>
      <c r="E14" s="27" t="s">
        <v>1519</v>
      </c>
      <c r="F14" s="27" t="s">
        <v>896</v>
      </c>
    </row>
    <row r="16" customFormat="false" ht="23.25" hidden="false" customHeight="true" outlineLevel="0" collapsed="false">
      <c r="A16" s="24" t="s">
        <v>1520</v>
      </c>
      <c r="B16" s="24"/>
      <c r="C16" s="24"/>
      <c r="D16" s="24"/>
      <c r="E16" s="24"/>
      <c r="F16" s="24"/>
    </row>
  </sheetData>
  <mergeCells count="3">
    <mergeCell ref="A1:F1"/>
    <mergeCell ref="A2:F2"/>
    <mergeCell ref="A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8"/>
    <col collapsed="false" customWidth="true" hidden="false" outlineLevel="0" max="2" min="2" style="17" width="30"/>
    <col collapsed="false" customWidth="true" hidden="false" outlineLevel="0" max="3" min="3" style="17" width="12"/>
    <col collapsed="false" customWidth="true" hidden="false" outlineLevel="0" max="4" min="4" style="17" width="20"/>
    <col collapsed="false" customWidth="true" hidden="false" outlineLevel="0" max="5" min="5" style="17" width="12"/>
    <col collapsed="false" customWidth="true" hidden="false" outlineLevel="0" max="6" min="6" style="17" width="18"/>
  </cols>
  <sheetData>
    <row r="1" customFormat="false" ht="27.75" hidden="false" customHeight="true" outlineLevel="0" collapsed="false">
      <c r="A1" s="23" t="s">
        <v>1521</v>
      </c>
      <c r="B1" s="23"/>
      <c r="C1" s="23"/>
      <c r="D1" s="23"/>
      <c r="E1" s="23"/>
      <c r="F1" s="23"/>
    </row>
    <row r="2" customFormat="false" ht="23.25" hidden="false" customHeight="true" outlineLevel="0" collapsed="false">
      <c r="A2" s="24" t="s">
        <v>1522</v>
      </c>
      <c r="B2" s="24"/>
      <c r="C2" s="24"/>
      <c r="D2" s="24"/>
      <c r="E2" s="24"/>
      <c r="F2" s="24"/>
    </row>
    <row r="4" customFormat="false" ht="23.25" hidden="false" customHeight="true" outlineLevel="0" collapsed="false">
      <c r="A4" s="19" t="s">
        <v>1523</v>
      </c>
      <c r="B4" s="19" t="s">
        <v>1524</v>
      </c>
      <c r="C4" s="19" t="s">
        <v>1525</v>
      </c>
      <c r="D4" s="19" t="s">
        <v>1526</v>
      </c>
      <c r="E4" s="19" t="s">
        <v>1527</v>
      </c>
      <c r="F4" s="19" t="s">
        <v>1528</v>
      </c>
    </row>
    <row r="5" customFormat="false" ht="15" hidden="false" customHeight="true" outlineLevel="0" collapsed="false">
      <c r="A5" s="21" t="n">
        <v>1</v>
      </c>
      <c r="B5" s="21" t="s">
        <v>1529</v>
      </c>
      <c r="C5" s="175" t="n">
        <v>2021</v>
      </c>
      <c r="D5" s="22" t="n">
        <v>2140.22</v>
      </c>
      <c r="E5" s="32" t="n">
        <v>0.01</v>
      </c>
      <c r="F5" s="25" t="n">
        <f aca="false">D5*E5</f>
        <v>21.4022</v>
      </c>
    </row>
    <row r="6" customFormat="false" ht="15" hidden="false" customHeight="true" outlineLevel="0" collapsed="false">
      <c r="A6" s="21" t="n">
        <v>2</v>
      </c>
      <c r="B6" s="21" t="s">
        <v>1530</v>
      </c>
      <c r="C6" s="175" t="n">
        <v>2022</v>
      </c>
      <c r="D6" s="22" t="n">
        <v>2025.63</v>
      </c>
      <c r="E6" s="32" t="n">
        <v>0.01</v>
      </c>
      <c r="F6" s="25" t="n">
        <f aca="false">D6*E6</f>
        <v>20.2563</v>
      </c>
    </row>
    <row r="7" customFormat="false" ht="15" hidden="false" customHeight="true" outlineLevel="0" collapsed="false">
      <c r="A7" s="21" t="n">
        <v>3</v>
      </c>
      <c r="B7" s="21" t="s">
        <v>1531</v>
      </c>
      <c r="C7" s="175" t="n">
        <v>2022</v>
      </c>
      <c r="D7" s="22" t="n">
        <v>1386.19</v>
      </c>
      <c r="E7" s="32" t="n">
        <v>0.01</v>
      </c>
      <c r="F7" s="25" t="n">
        <f aca="false">D7*E7</f>
        <v>13.8619</v>
      </c>
    </row>
    <row r="8" customFormat="false" ht="15" hidden="false" customHeight="true" outlineLevel="0" collapsed="false">
      <c r="A8" s="21" t="n">
        <v>4</v>
      </c>
      <c r="B8" s="21" t="s">
        <v>1532</v>
      </c>
      <c r="C8" s="175" t="n">
        <v>2022</v>
      </c>
      <c r="D8" s="22" t="n">
        <v>1143.33</v>
      </c>
      <c r="E8" s="32" t="n">
        <v>0.01</v>
      </c>
      <c r="F8" s="25" t="n">
        <f aca="false">D8*E8</f>
        <v>11.4333</v>
      </c>
    </row>
    <row r="9" customFormat="false" ht="15" hidden="false" customHeight="true" outlineLevel="0" collapsed="false">
      <c r="A9" s="21" t="n">
        <v>5</v>
      </c>
      <c r="B9" s="21" t="s">
        <v>1533</v>
      </c>
      <c r="C9" s="175" t="n">
        <v>2022</v>
      </c>
      <c r="D9" s="22" t="n">
        <v>887.52</v>
      </c>
      <c r="E9" s="32" t="n">
        <v>0.01</v>
      </c>
      <c r="F9" s="25" t="n">
        <f aca="false">D9*E9</f>
        <v>8.8752</v>
      </c>
    </row>
    <row r="10" customFormat="false" ht="15" hidden="false" customHeight="true" outlineLevel="0" collapsed="false">
      <c r="A10" s="21" t="n">
        <v>6</v>
      </c>
      <c r="B10" s="21" t="s">
        <v>1534</v>
      </c>
      <c r="C10" s="175" t="n">
        <v>2022</v>
      </c>
      <c r="D10" s="22" t="n">
        <v>427.43</v>
      </c>
      <c r="E10" s="32" t="n">
        <v>0.01</v>
      </c>
      <c r="F10" s="25" t="n">
        <f aca="false">D10*E10</f>
        <v>4.2743</v>
      </c>
    </row>
    <row r="11" customFormat="false" ht="15" hidden="false" customHeight="true" outlineLevel="0" collapsed="false">
      <c r="A11" s="21" t="n">
        <v>7</v>
      </c>
      <c r="B11" s="21" t="s">
        <v>1535</v>
      </c>
      <c r="C11" s="175" t="n">
        <v>2021</v>
      </c>
      <c r="D11" s="22" t="n">
        <v>468.04</v>
      </c>
      <c r="E11" s="32" t="n">
        <v>0.01</v>
      </c>
      <c r="F11" s="25" t="n">
        <f aca="false">D11*E11</f>
        <v>4.6804</v>
      </c>
    </row>
    <row r="12" customFormat="false" ht="15" hidden="false" customHeight="true" outlineLevel="0" collapsed="false">
      <c r="A12" s="21" t="n">
        <v>8</v>
      </c>
      <c r="B12" s="21" t="s">
        <v>1536</v>
      </c>
      <c r="C12" s="175" t="n">
        <v>2021</v>
      </c>
      <c r="D12" s="22" t="n">
        <v>694.6</v>
      </c>
      <c r="E12" s="32" t="n">
        <v>0.01</v>
      </c>
      <c r="F12" s="25" t="n">
        <f aca="false">D12*E12</f>
        <v>6.946</v>
      </c>
    </row>
    <row r="13" customFormat="false" ht="15" hidden="false" customHeight="true" outlineLevel="0" collapsed="false">
      <c r="A13" s="21" t="n">
        <v>9</v>
      </c>
      <c r="B13" s="21" t="s">
        <v>1537</v>
      </c>
      <c r="C13" s="175" t="n">
        <v>2021</v>
      </c>
      <c r="D13" s="22" t="n">
        <v>722.98</v>
      </c>
      <c r="E13" s="32" t="n">
        <v>0.01</v>
      </c>
      <c r="F13" s="25" t="n">
        <f aca="false">D13*E13</f>
        <v>7.2298</v>
      </c>
    </row>
    <row r="14" customFormat="false" ht="15" hidden="false" customHeight="true" outlineLevel="0" collapsed="false">
      <c r="A14" s="21" t="n">
        <v>10</v>
      </c>
      <c r="B14" s="21" t="s">
        <v>1538</v>
      </c>
      <c r="C14" s="175" t="n">
        <v>2021</v>
      </c>
      <c r="D14" s="22" t="n">
        <v>277.05</v>
      </c>
      <c r="E14" s="32" t="n">
        <v>0.01</v>
      </c>
      <c r="F14" s="25" t="n">
        <f aca="false">D14*E14</f>
        <v>2.7705</v>
      </c>
    </row>
    <row r="15" customFormat="false" ht="15" hidden="false" customHeight="true" outlineLevel="0" collapsed="false">
      <c r="A15" s="21" t="n">
        <v>11</v>
      </c>
      <c r="B15" s="21" t="s">
        <v>1539</v>
      </c>
      <c r="C15" s="175" t="n">
        <v>2021</v>
      </c>
      <c r="D15" s="22" t="n">
        <v>464.33</v>
      </c>
      <c r="E15" s="32" t="n">
        <v>0.01</v>
      </c>
      <c r="F15" s="25" t="n">
        <f aca="false">D15*E15</f>
        <v>4.6433</v>
      </c>
    </row>
    <row r="16" customFormat="false" ht="15" hidden="false" customHeight="true" outlineLevel="0" collapsed="false">
      <c r="A16" s="21" t="n">
        <v>12</v>
      </c>
      <c r="B16" s="21" t="s">
        <v>1540</v>
      </c>
      <c r="C16" s="175" t="n">
        <v>2022</v>
      </c>
      <c r="D16" s="22" t="n">
        <v>253.93</v>
      </c>
      <c r="E16" s="32" t="n">
        <v>0.01</v>
      </c>
      <c r="F16" s="25" t="n">
        <f aca="false">D16*E16</f>
        <v>2.5393</v>
      </c>
    </row>
    <row r="17" customFormat="false" ht="15" hidden="false" customHeight="true" outlineLevel="0" collapsed="false">
      <c r="A17" s="21" t="n">
        <v>13</v>
      </c>
      <c r="B17" s="21" t="s">
        <v>1541</v>
      </c>
      <c r="C17" s="175" t="n">
        <v>2022</v>
      </c>
      <c r="D17" s="22" t="n">
        <v>833.57</v>
      </c>
      <c r="E17" s="32" t="n">
        <v>0.01</v>
      </c>
      <c r="F17" s="25" t="n">
        <f aca="false">D17*E17</f>
        <v>8.3357</v>
      </c>
    </row>
    <row r="18" customFormat="false" ht="15" hidden="false" customHeight="true" outlineLevel="0" collapsed="false">
      <c r="A18" s="21" t="n">
        <v>14</v>
      </c>
      <c r="B18" s="21" t="s">
        <v>1542</v>
      </c>
      <c r="C18" s="175" t="n">
        <v>2021</v>
      </c>
      <c r="D18" s="22" t="n">
        <v>329.9</v>
      </c>
      <c r="E18" s="32" t="n">
        <v>0.01</v>
      </c>
      <c r="F18" s="25" t="n">
        <f aca="false">D18*E18</f>
        <v>3.299</v>
      </c>
    </row>
    <row r="19" customFormat="false" ht="15" hidden="false" customHeight="true" outlineLevel="0" collapsed="false">
      <c r="A19" s="21" t="n">
        <v>15</v>
      </c>
      <c r="B19" s="21" t="s">
        <v>1543</v>
      </c>
      <c r="C19" s="175" t="n">
        <v>2021</v>
      </c>
      <c r="D19" s="22" t="n">
        <v>109.57</v>
      </c>
      <c r="E19" s="32" t="n">
        <v>0.01</v>
      </c>
      <c r="F19" s="25" t="n">
        <f aca="false">D19*E19</f>
        <v>1.0957</v>
      </c>
    </row>
    <row r="20" customFormat="false" ht="15" hidden="false" customHeight="true" outlineLevel="0" collapsed="false">
      <c r="A20" s="21" t="n">
        <v>16</v>
      </c>
      <c r="B20" s="21" t="s">
        <v>1544</v>
      </c>
      <c r="C20" s="175" t="n">
        <v>2020</v>
      </c>
      <c r="D20" s="22" t="n">
        <v>184.88</v>
      </c>
      <c r="E20" s="32" t="n">
        <v>0.01</v>
      </c>
      <c r="F20" s="25" t="n">
        <f aca="false">D20*E20</f>
        <v>1.8488</v>
      </c>
    </row>
    <row r="21" customFormat="false" ht="15" hidden="false" customHeight="true" outlineLevel="0" collapsed="false">
      <c r="A21" s="21" t="n">
        <v>17</v>
      </c>
      <c r="B21" s="21" t="s">
        <v>1545</v>
      </c>
      <c r="C21" s="175" t="n">
        <v>2022</v>
      </c>
      <c r="D21" s="22" t="n">
        <v>71.94</v>
      </c>
      <c r="E21" s="32" t="n">
        <v>0.01</v>
      </c>
      <c r="F21" s="25" t="n">
        <f aca="false">D21*E21</f>
        <v>0.7194</v>
      </c>
    </row>
    <row r="22" customFormat="false" ht="15" hidden="false" customHeight="true" outlineLevel="0" collapsed="false">
      <c r="A22" s="21" t="n">
        <v>18</v>
      </c>
      <c r="B22" s="21" t="s">
        <v>1546</v>
      </c>
      <c r="C22" s="175" t="n">
        <v>2022</v>
      </c>
      <c r="D22" s="22" t="n">
        <v>130.58</v>
      </c>
      <c r="E22" s="32" t="n">
        <v>0.01</v>
      </c>
      <c r="F22" s="25" t="n">
        <f aca="false">D22*E22</f>
        <v>1.3058</v>
      </c>
    </row>
    <row r="23" customFormat="false" ht="15" hidden="false" customHeight="true" outlineLevel="0" collapsed="false">
      <c r="A23" s="21" t="n">
        <v>19</v>
      </c>
      <c r="B23" s="21" t="s">
        <v>1547</v>
      </c>
      <c r="C23" s="175" t="n">
        <v>2022</v>
      </c>
      <c r="D23" s="22" t="n">
        <v>108.4</v>
      </c>
      <c r="E23" s="32" t="n">
        <v>0.01</v>
      </c>
      <c r="F23" s="25" t="n">
        <f aca="false">D23*E23</f>
        <v>1.084</v>
      </c>
    </row>
    <row r="24" customFormat="false" ht="15" hidden="false" customHeight="true" outlineLevel="0" collapsed="false">
      <c r="A24" s="21" t="n">
        <v>20</v>
      </c>
      <c r="B24" s="21" t="s">
        <v>1548</v>
      </c>
      <c r="C24" s="175" t="n">
        <v>2021</v>
      </c>
      <c r="D24" s="22" t="n">
        <v>202.35</v>
      </c>
      <c r="E24" s="32" t="n">
        <v>0.01</v>
      </c>
      <c r="F24" s="25" t="n">
        <f aca="false">D24*E24</f>
        <v>2.0235</v>
      </c>
    </row>
    <row r="25" customFormat="false" ht="15" hidden="false" customHeight="true" outlineLevel="0" collapsed="false">
      <c r="A25" s="21" t="n">
        <v>21</v>
      </c>
      <c r="B25" s="21" t="s">
        <v>1549</v>
      </c>
      <c r="C25" s="175" t="n">
        <v>2022</v>
      </c>
      <c r="D25" s="22" t="n">
        <v>117.39</v>
      </c>
      <c r="E25" s="32" t="n">
        <v>0.01</v>
      </c>
      <c r="F25" s="25" t="n">
        <f aca="false">D25*E25</f>
        <v>1.1739</v>
      </c>
    </row>
    <row r="26" customFormat="false" ht="15" hidden="false" customHeight="true" outlineLevel="0" collapsed="false">
      <c r="A26" s="21" t="n">
        <v>22</v>
      </c>
      <c r="B26" s="21" t="s">
        <v>1550</v>
      </c>
      <c r="C26" s="175" t="n">
        <v>2021</v>
      </c>
      <c r="D26" s="22" t="n">
        <v>299.93</v>
      </c>
      <c r="E26" s="32" t="n">
        <v>0.01</v>
      </c>
      <c r="F26" s="25" t="n">
        <f aca="false">D26*E26</f>
        <v>2.9993</v>
      </c>
    </row>
    <row r="27" customFormat="false" ht="15" hidden="false" customHeight="true" outlineLevel="0" collapsed="false">
      <c r="A27" s="21" t="n">
        <v>23</v>
      </c>
      <c r="B27" s="21" t="s">
        <v>1551</v>
      </c>
      <c r="C27" s="175" t="n">
        <v>2022</v>
      </c>
      <c r="D27" s="22" t="n">
        <v>115.33</v>
      </c>
      <c r="E27" s="32" t="n">
        <v>0.01</v>
      </c>
      <c r="F27" s="25" t="n">
        <f aca="false">D27*E27</f>
        <v>1.1533</v>
      </c>
    </row>
    <row r="28" customFormat="false" ht="15" hidden="false" customHeight="true" outlineLevel="0" collapsed="false">
      <c r="A28" s="21" t="n">
        <v>24</v>
      </c>
      <c r="B28" s="21" t="s">
        <v>1552</v>
      </c>
      <c r="C28" s="175" t="n">
        <v>2021</v>
      </c>
      <c r="D28" s="22" t="n">
        <v>76.54</v>
      </c>
      <c r="E28" s="32" t="n">
        <v>0.01</v>
      </c>
      <c r="F28" s="25" t="n">
        <f aca="false">D28*E28</f>
        <v>0.7654</v>
      </c>
    </row>
    <row r="29" customFormat="false" ht="15" hidden="false" customHeight="true" outlineLevel="0" collapsed="false">
      <c r="A29" s="21" t="n">
        <v>25</v>
      </c>
      <c r="B29" s="21" t="s">
        <v>1553</v>
      </c>
      <c r="C29" s="175" t="n">
        <v>2020</v>
      </c>
      <c r="D29" s="22" t="n">
        <v>88.52</v>
      </c>
      <c r="E29" s="32" t="n">
        <v>0.01</v>
      </c>
      <c r="F29" s="25" t="n">
        <f aca="false">D29*E29</f>
        <v>0.8852</v>
      </c>
    </row>
    <row r="30" customFormat="false" ht="15" hidden="false" customHeight="true" outlineLevel="0" collapsed="false">
      <c r="A30" s="21" t="n">
        <v>26</v>
      </c>
      <c r="B30" s="21" t="s">
        <v>1554</v>
      </c>
      <c r="C30" s="175" t="n">
        <v>2021</v>
      </c>
      <c r="D30" s="22" t="n">
        <v>131.07</v>
      </c>
      <c r="E30" s="32" t="n">
        <v>0.01</v>
      </c>
      <c r="F30" s="25" t="n">
        <f aca="false">D30*E30</f>
        <v>1.3107</v>
      </c>
    </row>
    <row r="31" customFormat="false" ht="15" hidden="false" customHeight="true" outlineLevel="0" collapsed="false">
      <c r="A31" s="21" t="n">
        <v>27</v>
      </c>
      <c r="B31" s="21" t="s">
        <v>1555</v>
      </c>
      <c r="C31" s="175" t="n">
        <v>2022</v>
      </c>
      <c r="D31" s="22" t="n">
        <v>110.93</v>
      </c>
      <c r="E31" s="32" t="n">
        <v>0.01</v>
      </c>
      <c r="F31" s="25" t="n">
        <f aca="false">D31*E31</f>
        <v>1.1093</v>
      </c>
    </row>
    <row r="32" customFormat="false" ht="15" hidden="false" customHeight="true" outlineLevel="0" collapsed="false">
      <c r="A32" s="21" t="n">
        <v>28</v>
      </c>
      <c r="B32" s="21" t="s">
        <v>1556</v>
      </c>
      <c r="C32" s="175" t="n">
        <v>2021</v>
      </c>
      <c r="D32" s="22" t="n">
        <v>137.83</v>
      </c>
      <c r="E32" s="32" t="n">
        <v>0.01</v>
      </c>
      <c r="F32" s="25" t="n">
        <f aca="false">D32*E32</f>
        <v>1.3783</v>
      </c>
    </row>
    <row r="33" customFormat="false" ht="15" hidden="false" customHeight="true" outlineLevel="0" collapsed="false">
      <c r="A33" s="21" t="n">
        <v>29</v>
      </c>
      <c r="B33" s="21" t="s">
        <v>1557</v>
      </c>
      <c r="C33" s="175" t="n">
        <v>2021</v>
      </c>
      <c r="D33" s="22" t="n">
        <v>123.52</v>
      </c>
      <c r="E33" s="32" t="n">
        <v>0.01</v>
      </c>
      <c r="F33" s="25" t="n">
        <f aca="false">D33*E33</f>
        <v>1.2352</v>
      </c>
    </row>
    <row r="34" customFormat="false" ht="15" hidden="false" customHeight="true" outlineLevel="0" collapsed="false">
      <c r="A34" s="21" t="n">
        <v>30</v>
      </c>
      <c r="B34" s="21" t="s">
        <v>1558</v>
      </c>
      <c r="C34" s="175" t="n">
        <v>2022</v>
      </c>
      <c r="D34" s="22" t="n">
        <v>55.97</v>
      </c>
      <c r="E34" s="32" t="n">
        <v>0.01</v>
      </c>
      <c r="F34" s="25" t="n">
        <f aca="false">D34*E34</f>
        <v>0.5597</v>
      </c>
    </row>
    <row r="35" customFormat="false" ht="15" hidden="false" customHeight="true" outlineLevel="0" collapsed="false">
      <c r="A35" s="21" t="n">
        <v>31</v>
      </c>
      <c r="B35" s="21" t="s">
        <v>1559</v>
      </c>
      <c r="C35" s="175" t="n">
        <v>2022</v>
      </c>
      <c r="D35" s="22" t="n">
        <v>105.93</v>
      </c>
      <c r="E35" s="32" t="n">
        <v>0.01</v>
      </c>
      <c r="F35" s="25" t="n">
        <f aca="false">D35*E35</f>
        <v>1.0593</v>
      </c>
    </row>
    <row r="36" customFormat="false" ht="15" hidden="false" customHeight="true" outlineLevel="0" collapsed="false">
      <c r="A36" s="21" t="n">
        <v>32</v>
      </c>
      <c r="B36" s="21" t="s">
        <v>1560</v>
      </c>
      <c r="C36" s="175" t="n">
        <v>2021</v>
      </c>
      <c r="D36" s="22" t="n">
        <v>88.05</v>
      </c>
      <c r="E36" s="32" t="n">
        <v>0.01</v>
      </c>
      <c r="F36" s="25" t="n">
        <f aca="false">D36*E36</f>
        <v>0.8805</v>
      </c>
    </row>
    <row r="37" customFormat="false" ht="15" hidden="false" customHeight="true" outlineLevel="0" collapsed="false">
      <c r="A37" s="21" t="n">
        <v>33</v>
      </c>
      <c r="B37" s="21" t="s">
        <v>1561</v>
      </c>
      <c r="C37" s="175" t="n">
        <v>2021</v>
      </c>
      <c r="D37" s="22" t="n">
        <v>71.54</v>
      </c>
      <c r="E37" s="32" t="n">
        <v>0.01</v>
      </c>
      <c r="F37" s="25" t="n">
        <f aca="false">D37*E37</f>
        <v>0.7154</v>
      </c>
    </row>
    <row r="38" customFormat="false" ht="15" hidden="false" customHeight="true" outlineLevel="0" collapsed="false">
      <c r="A38" s="21" t="n">
        <v>34</v>
      </c>
      <c r="B38" s="21" t="s">
        <v>1562</v>
      </c>
      <c r="C38" s="175" t="n">
        <v>2021</v>
      </c>
      <c r="D38" s="22" t="n">
        <v>52.69</v>
      </c>
      <c r="E38" s="32" t="n">
        <v>0.01</v>
      </c>
      <c r="F38" s="25" t="n">
        <f aca="false">D38*E38</f>
        <v>0.5269</v>
      </c>
    </row>
    <row r="39" customFormat="false" ht="15" hidden="false" customHeight="true" outlineLevel="0" collapsed="false">
      <c r="A39" s="21" t="n">
        <v>35</v>
      </c>
      <c r="B39" s="21" t="s">
        <v>1563</v>
      </c>
      <c r="C39" s="175" t="n">
        <v>2021</v>
      </c>
      <c r="D39" s="22" t="n">
        <v>109.7</v>
      </c>
      <c r="E39" s="32" t="n">
        <v>0.01</v>
      </c>
      <c r="F39" s="25" t="n">
        <f aca="false">D39*E39</f>
        <v>1.097</v>
      </c>
    </row>
    <row r="40" customFormat="false" ht="15" hidden="false" customHeight="true" outlineLevel="0" collapsed="false">
      <c r="A40" s="21" t="n">
        <v>36</v>
      </c>
      <c r="B40" s="21" t="s">
        <v>1564</v>
      </c>
      <c r="C40" s="175" t="n">
        <v>2021</v>
      </c>
      <c r="D40" s="22" t="n">
        <v>32.47</v>
      </c>
      <c r="E40" s="32" t="n">
        <v>0.01</v>
      </c>
      <c r="F40" s="25" t="n">
        <f aca="false">D40*E40</f>
        <v>0.3247</v>
      </c>
    </row>
    <row r="41" customFormat="false" ht="15" hidden="false" customHeight="true" outlineLevel="0" collapsed="false">
      <c r="A41" s="21" t="n">
        <v>37</v>
      </c>
      <c r="B41" s="21" t="s">
        <v>1565</v>
      </c>
      <c r="C41" s="175" t="n">
        <v>2021</v>
      </c>
      <c r="D41" s="22" t="n">
        <v>54.04</v>
      </c>
      <c r="E41" s="32" t="n">
        <v>0.01</v>
      </c>
      <c r="F41" s="25" t="n">
        <f aca="false">D41*E41</f>
        <v>0.5404</v>
      </c>
    </row>
    <row r="42" customFormat="false" ht="15" hidden="false" customHeight="true" outlineLevel="0" collapsed="false">
      <c r="A42" s="21" t="n">
        <v>38</v>
      </c>
      <c r="B42" s="21" t="s">
        <v>1566</v>
      </c>
      <c r="C42" s="175" t="n">
        <v>2021</v>
      </c>
      <c r="D42" s="22" t="n">
        <v>44.36</v>
      </c>
      <c r="E42" s="32" t="n">
        <v>0.01</v>
      </c>
      <c r="F42" s="25" t="n">
        <f aca="false">D42*E42</f>
        <v>0.4436</v>
      </c>
    </row>
    <row r="43" customFormat="false" ht="15" hidden="false" customHeight="true" outlineLevel="0" collapsed="false">
      <c r="A43" s="21" t="n">
        <v>39</v>
      </c>
      <c r="B43" s="21" t="s">
        <v>1567</v>
      </c>
      <c r="C43" s="175" t="n">
        <v>2022</v>
      </c>
      <c r="D43" s="22" t="n">
        <v>33.31</v>
      </c>
      <c r="E43" s="32" t="n">
        <v>0.01</v>
      </c>
      <c r="F43" s="25" t="n">
        <f aca="false">D43*E43</f>
        <v>0.3331</v>
      </c>
    </row>
    <row r="44" customFormat="false" ht="15" hidden="false" customHeight="true" outlineLevel="0" collapsed="false">
      <c r="A44" s="21" t="n">
        <v>40</v>
      </c>
      <c r="B44" s="21" t="s">
        <v>1568</v>
      </c>
      <c r="C44" s="175" t="n">
        <v>2022</v>
      </c>
      <c r="D44" s="22" t="n">
        <v>25.81</v>
      </c>
      <c r="E44" s="32" t="n">
        <v>0.01</v>
      </c>
      <c r="F44" s="25" t="n">
        <f aca="false">D44*E44</f>
        <v>0.2581</v>
      </c>
    </row>
    <row r="45" customFormat="false" ht="15" hidden="false" customHeight="true" outlineLevel="0" collapsed="false">
      <c r="A45" s="21" t="n">
        <v>41</v>
      </c>
      <c r="B45" s="21" t="s">
        <v>1569</v>
      </c>
      <c r="C45" s="175" t="n">
        <v>2021</v>
      </c>
      <c r="D45" s="22" t="n">
        <v>21.22</v>
      </c>
      <c r="E45" s="32" t="n">
        <v>0.01</v>
      </c>
      <c r="F45" s="25" t="n">
        <f aca="false">D45*E45</f>
        <v>0.2122</v>
      </c>
    </row>
    <row r="46" customFormat="false" ht="15" hidden="false" customHeight="true" outlineLevel="0" collapsed="false">
      <c r="A46" s="21" t="n">
        <v>42</v>
      </c>
      <c r="B46" s="21" t="s">
        <v>1570</v>
      </c>
      <c r="C46" s="175" t="n">
        <v>2021</v>
      </c>
      <c r="D46" s="22" t="n">
        <v>21.66</v>
      </c>
      <c r="E46" s="32" t="n">
        <v>0.01</v>
      </c>
      <c r="F46" s="25" t="n">
        <f aca="false">D46*E46</f>
        <v>0.2166</v>
      </c>
    </row>
    <row r="47" customFormat="false" ht="15" hidden="false" customHeight="true" outlineLevel="0" collapsed="false">
      <c r="A47" s="21" t="n">
        <v>43</v>
      </c>
      <c r="B47" s="21" t="s">
        <v>1571</v>
      </c>
      <c r="C47" s="175" t="n">
        <v>2021</v>
      </c>
      <c r="D47" s="22" t="n">
        <v>15.79</v>
      </c>
      <c r="E47" s="32" t="n">
        <v>0.01</v>
      </c>
      <c r="F47" s="25" t="n">
        <f aca="false">D47*E47</f>
        <v>0.1579</v>
      </c>
    </row>
    <row r="48" customFormat="false" ht="15" hidden="false" customHeight="true" outlineLevel="0" collapsed="false">
      <c r="A48" s="21" t="n">
        <v>44</v>
      </c>
      <c r="B48" s="21" t="s">
        <v>1572</v>
      </c>
      <c r="C48" s="175" t="n">
        <v>2022</v>
      </c>
      <c r="D48" s="22" t="n">
        <v>16.57</v>
      </c>
      <c r="E48" s="32" t="n">
        <v>0.01</v>
      </c>
      <c r="F48" s="25" t="n">
        <f aca="false">D48*E48</f>
        <v>0.1657</v>
      </c>
    </row>
    <row r="49" customFormat="false" ht="15" hidden="false" customHeight="true" outlineLevel="0" collapsed="false">
      <c r="A49" s="21" t="n">
        <v>45</v>
      </c>
      <c r="B49" s="21" t="s">
        <v>1573</v>
      </c>
      <c r="C49" s="175" t="n">
        <v>2022</v>
      </c>
      <c r="D49" s="22" t="n">
        <v>15.32</v>
      </c>
      <c r="E49" s="32" t="n">
        <v>0.01</v>
      </c>
      <c r="F49" s="25" t="n">
        <f aca="false">D49*E49</f>
        <v>0.1532</v>
      </c>
    </row>
    <row r="50" customFormat="false" ht="15" hidden="false" customHeight="true" outlineLevel="0" collapsed="false">
      <c r="A50" s="21" t="n">
        <v>46</v>
      </c>
      <c r="B50" s="21" t="s">
        <v>1574</v>
      </c>
      <c r="C50" s="175" t="n">
        <v>2021</v>
      </c>
      <c r="D50" s="22" t="n">
        <v>9.26</v>
      </c>
      <c r="E50" s="32" t="n">
        <v>0.01</v>
      </c>
      <c r="F50" s="25" t="n">
        <f aca="false">D50*E50</f>
        <v>0.0926</v>
      </c>
    </row>
    <row r="51" customFormat="false" ht="15" hidden="false" customHeight="true" outlineLevel="0" collapsed="false">
      <c r="A51" s="21" t="n">
        <v>47</v>
      </c>
      <c r="B51" s="21" t="s">
        <v>1575</v>
      </c>
      <c r="C51" s="175" t="n">
        <v>2022</v>
      </c>
      <c r="D51" s="22" t="n">
        <v>16.27</v>
      </c>
      <c r="E51" s="32" t="n">
        <v>0.01</v>
      </c>
      <c r="F51" s="25" t="n">
        <f aca="false">D51*E51</f>
        <v>0.1627</v>
      </c>
    </row>
    <row r="52" customFormat="false" ht="15" hidden="false" customHeight="true" outlineLevel="0" collapsed="false">
      <c r="A52" s="21" t="n">
        <v>48</v>
      </c>
      <c r="B52" s="21" t="s">
        <v>1576</v>
      </c>
      <c r="C52" s="175" t="n">
        <v>2021</v>
      </c>
      <c r="D52" s="22" t="n">
        <v>15.02</v>
      </c>
      <c r="E52" s="32" t="n">
        <v>0.01</v>
      </c>
      <c r="F52" s="25" t="n">
        <f aca="false">D52*E52</f>
        <v>0.1502</v>
      </c>
    </row>
    <row r="53" customFormat="false" ht="15" hidden="false" customHeight="true" outlineLevel="0" collapsed="false">
      <c r="A53" s="21" t="n">
        <v>49</v>
      </c>
      <c r="B53" s="21" t="s">
        <v>1577</v>
      </c>
      <c r="C53" s="175" t="n">
        <v>2021</v>
      </c>
      <c r="D53" s="22" t="n">
        <v>9.2</v>
      </c>
      <c r="E53" s="32" t="n">
        <v>0.01</v>
      </c>
      <c r="F53" s="25" t="n">
        <f aca="false">D53*E53</f>
        <v>0.092</v>
      </c>
    </row>
    <row r="54" customFormat="false" ht="15" hidden="false" customHeight="true" outlineLevel="0" collapsed="false">
      <c r="A54" s="21" t="n">
        <v>50</v>
      </c>
      <c r="B54" s="21" t="s">
        <v>1578</v>
      </c>
      <c r="C54" s="175" t="n">
        <v>2021</v>
      </c>
      <c r="D54" s="22" t="n">
        <v>8.04</v>
      </c>
      <c r="E54" s="32" t="n">
        <v>0.01</v>
      </c>
      <c r="F54" s="25" t="n">
        <f aca="false">D54*E54</f>
        <v>0.0804</v>
      </c>
    </row>
    <row r="55" customFormat="false" ht="15" hidden="false" customHeight="true" outlineLevel="0" collapsed="false">
      <c r="A55" s="21" t="n">
        <v>51</v>
      </c>
      <c r="B55" s="21" t="s">
        <v>1579</v>
      </c>
      <c r="C55" s="175" t="n">
        <v>2021</v>
      </c>
      <c r="D55" s="22" t="n">
        <v>12.72</v>
      </c>
      <c r="E55" s="32" t="n">
        <v>0.01</v>
      </c>
      <c r="F55" s="25" t="n">
        <f aca="false">D55*E55</f>
        <v>0.1272</v>
      </c>
    </row>
    <row r="56" customFormat="false" ht="15" hidden="false" customHeight="true" outlineLevel="0" collapsed="false">
      <c r="A56" s="21" t="n">
        <v>52</v>
      </c>
      <c r="B56" s="21" t="s">
        <v>1580</v>
      </c>
      <c r="C56" s="175" t="n">
        <v>2022</v>
      </c>
      <c r="D56" s="22" t="n">
        <v>11.35</v>
      </c>
      <c r="E56" s="32" t="n">
        <v>0.01</v>
      </c>
      <c r="F56" s="25" t="n">
        <f aca="false">D56*E56</f>
        <v>0.1135</v>
      </c>
    </row>
    <row r="57" customFormat="false" ht="15" hidden="false" customHeight="true" outlineLevel="0" collapsed="false">
      <c r="A57" s="21" t="n">
        <v>53</v>
      </c>
      <c r="B57" s="21" t="s">
        <v>1581</v>
      </c>
      <c r="C57" s="175" t="n">
        <v>2021</v>
      </c>
      <c r="D57" s="22" t="n">
        <v>7.12</v>
      </c>
      <c r="E57" s="32" t="n">
        <v>0.01</v>
      </c>
      <c r="F57" s="25" t="n">
        <f aca="false">D57*E57</f>
        <v>0.0712</v>
      </c>
    </row>
    <row r="58" customFormat="false" ht="15" hidden="false" customHeight="true" outlineLevel="0" collapsed="false">
      <c r="A58" s="21" t="n">
        <v>54</v>
      </c>
      <c r="B58" s="21" t="s">
        <v>1582</v>
      </c>
      <c r="C58" s="175" t="n">
        <v>2021</v>
      </c>
      <c r="D58" s="22" t="n">
        <v>5.88</v>
      </c>
      <c r="E58" s="32" t="n">
        <v>0.01</v>
      </c>
      <c r="F58" s="25" t="n">
        <f aca="false">D58*E58</f>
        <v>0.0588</v>
      </c>
    </row>
    <row r="59" customFormat="false" ht="15" hidden="false" customHeight="true" outlineLevel="0" collapsed="false">
      <c r="A59" s="21" t="n">
        <v>55</v>
      </c>
      <c r="B59" s="21" t="s">
        <v>1583</v>
      </c>
      <c r="C59" s="175" t="n">
        <v>2020</v>
      </c>
      <c r="D59" s="22" t="n">
        <v>4.79</v>
      </c>
      <c r="E59" s="32" t="n">
        <v>0.01</v>
      </c>
      <c r="F59" s="25" t="n">
        <f aca="false">D59*E59</f>
        <v>0.0479</v>
      </c>
    </row>
    <row r="60" customFormat="false" ht="15" hidden="false" customHeight="true" outlineLevel="0" collapsed="false">
      <c r="A60" s="21" t="n">
        <v>56</v>
      </c>
      <c r="B60" s="21" t="s">
        <v>1584</v>
      </c>
      <c r="C60" s="175" t="n">
        <v>2021</v>
      </c>
      <c r="D60" s="22" t="n">
        <v>5.2</v>
      </c>
      <c r="E60" s="32" t="n">
        <v>0.01</v>
      </c>
      <c r="F60" s="25" t="n">
        <f aca="false">D60*E60</f>
        <v>0.052</v>
      </c>
    </row>
    <row r="61" customFormat="false" ht="15" hidden="false" customHeight="true" outlineLevel="0" collapsed="false">
      <c r="A61" s="21" t="n">
        <v>57</v>
      </c>
      <c r="B61" s="21" t="s">
        <v>1585</v>
      </c>
      <c r="C61" s="175" t="n">
        <v>2022</v>
      </c>
      <c r="D61" s="22" t="n">
        <v>0.72</v>
      </c>
      <c r="E61" s="32" t="n">
        <v>0.01</v>
      </c>
      <c r="F61" s="25" t="n">
        <f aca="false">D61*E61</f>
        <v>0.0072</v>
      </c>
    </row>
    <row r="62" customFormat="false" ht="15" hidden="false" customHeight="true" outlineLevel="0" collapsed="false">
      <c r="A62" s="21" t="n">
        <v>58</v>
      </c>
      <c r="B62" s="21" t="s">
        <v>1586</v>
      </c>
      <c r="C62" s="175" t="n">
        <v>2021</v>
      </c>
      <c r="D62" s="22" t="n">
        <v>7.69</v>
      </c>
      <c r="E62" s="32" t="n">
        <v>0.01</v>
      </c>
      <c r="F62" s="25" t="n">
        <f aca="false">D62*E62</f>
        <v>0.0769</v>
      </c>
    </row>
    <row r="63" customFormat="false" ht="15" hidden="false" customHeight="true" outlineLevel="0" collapsed="false">
      <c r="A63" s="21" t="n">
        <v>59</v>
      </c>
      <c r="B63" s="21" t="s">
        <v>1587</v>
      </c>
      <c r="C63" s="175" t="n">
        <v>2021</v>
      </c>
      <c r="D63" s="22" t="n">
        <v>13.7</v>
      </c>
      <c r="E63" s="32" t="n">
        <v>0.01</v>
      </c>
      <c r="F63" s="25" t="n">
        <f aca="false">D63*E63</f>
        <v>0.137</v>
      </c>
    </row>
    <row r="64" customFormat="false" ht="15" hidden="false" customHeight="true" outlineLevel="0" collapsed="false">
      <c r="A64" s="21" t="n">
        <v>60</v>
      </c>
      <c r="B64" s="21" t="s">
        <v>1588</v>
      </c>
      <c r="C64" s="175" t="n">
        <v>2022</v>
      </c>
      <c r="D64" s="22" t="n">
        <v>27.24</v>
      </c>
      <c r="E64" s="32" t="n">
        <v>0.01</v>
      </c>
      <c r="F64" s="25" t="n">
        <f aca="false">D64*E64</f>
        <v>0.2724</v>
      </c>
    </row>
    <row r="65" customFormat="false" ht="15" hidden="false" customHeight="true" outlineLevel="0" collapsed="false">
      <c r="A65" s="21" t="n">
        <v>61</v>
      </c>
      <c r="B65" s="21" t="s">
        <v>1589</v>
      </c>
      <c r="C65" s="175" t="n">
        <v>2021</v>
      </c>
      <c r="D65" s="22" t="n">
        <v>2.17</v>
      </c>
      <c r="E65" s="32" t="n">
        <v>0.01</v>
      </c>
      <c r="F65" s="25" t="n">
        <f aca="false">D65*E65</f>
        <v>0.0217</v>
      </c>
    </row>
    <row r="66" customFormat="false" ht="15" hidden="false" customHeight="true" outlineLevel="0" collapsed="false">
      <c r="A66" s="21" t="n">
        <v>62</v>
      </c>
      <c r="B66" s="21" t="s">
        <v>1590</v>
      </c>
      <c r="C66" s="175" t="n">
        <v>2021</v>
      </c>
      <c r="D66" s="22" t="n">
        <v>3.62</v>
      </c>
      <c r="E66" s="32" t="n">
        <v>0.01</v>
      </c>
      <c r="F66" s="25" t="n">
        <f aca="false">D66*E66</f>
        <v>0.0362</v>
      </c>
    </row>
    <row r="67" customFormat="false" ht="15" hidden="false" customHeight="true" outlineLevel="0" collapsed="false">
      <c r="A67" s="21" t="n">
        <v>63</v>
      </c>
      <c r="B67" s="21" t="s">
        <v>1591</v>
      </c>
      <c r="C67" s="175" t="n">
        <v>2021</v>
      </c>
      <c r="D67" s="22" t="n">
        <v>3.36</v>
      </c>
      <c r="E67" s="32" t="n">
        <v>0.01</v>
      </c>
      <c r="F67" s="25" t="n">
        <f aca="false">D67*E67</f>
        <v>0.0336</v>
      </c>
    </row>
    <row r="68" customFormat="false" ht="15" hidden="false" customHeight="true" outlineLevel="0" collapsed="false">
      <c r="A68" s="21" t="n">
        <v>64</v>
      </c>
      <c r="B68" s="21" t="s">
        <v>1592</v>
      </c>
      <c r="C68" s="175" t="n">
        <v>2021</v>
      </c>
      <c r="D68" s="22" t="n">
        <v>2.73</v>
      </c>
      <c r="E68" s="32" t="n">
        <v>0.01</v>
      </c>
      <c r="F68" s="25" t="n">
        <f aca="false">D68*E68</f>
        <v>0.0273</v>
      </c>
    </row>
    <row r="69" customFormat="false" ht="15" hidden="false" customHeight="true" outlineLevel="0" collapsed="false">
      <c r="A69" s="21" t="n">
        <v>65</v>
      </c>
      <c r="B69" s="21" t="s">
        <v>1593</v>
      </c>
      <c r="C69" s="175" t="n">
        <v>2021</v>
      </c>
      <c r="D69" s="22" t="n">
        <v>9.41</v>
      </c>
      <c r="E69" s="32" t="n">
        <v>0.01</v>
      </c>
      <c r="F69" s="25" t="n">
        <f aca="false">D69*E69</f>
        <v>0.0941</v>
      </c>
    </row>
    <row r="70" customFormat="false" ht="15" hidden="false" customHeight="true" outlineLevel="0" collapsed="false">
      <c r="A70" s="21" t="n">
        <v>66</v>
      </c>
      <c r="B70" s="21" t="s">
        <v>1594</v>
      </c>
      <c r="C70" s="175" t="n">
        <v>2021</v>
      </c>
      <c r="D70" s="22" t="n">
        <v>29.37</v>
      </c>
      <c r="E70" s="32" t="n">
        <v>0.01</v>
      </c>
      <c r="F70" s="25" t="n">
        <f aca="false">D70*E70</f>
        <v>0.2937</v>
      </c>
    </row>
    <row r="71" customFormat="false" ht="15" hidden="false" customHeight="true" outlineLevel="0" collapsed="false">
      <c r="A71" s="21" t="n">
        <v>67</v>
      </c>
      <c r="B71" s="21" t="s">
        <v>1595</v>
      </c>
      <c r="C71" s="175" t="n">
        <v>2018</v>
      </c>
      <c r="D71" s="22" t="n">
        <v>0.22</v>
      </c>
      <c r="E71" s="32" t="n">
        <v>0.01</v>
      </c>
      <c r="F71" s="25" t="n">
        <f aca="false">D71*E71</f>
        <v>0.0022</v>
      </c>
    </row>
    <row r="72" customFormat="false" ht="15" hidden="false" customHeight="true" outlineLevel="0" collapsed="false">
      <c r="A72" s="21" t="n">
        <v>68</v>
      </c>
      <c r="B72" s="21" t="s">
        <v>1596</v>
      </c>
      <c r="C72" s="175" t="n">
        <v>2021</v>
      </c>
      <c r="D72" s="22" t="n">
        <v>0.17</v>
      </c>
      <c r="E72" s="32" t="n">
        <v>0.01</v>
      </c>
      <c r="F72" s="25" t="n">
        <f aca="false">D72*E72</f>
        <v>0.0017</v>
      </c>
    </row>
    <row r="73" customFormat="false" ht="15" hidden="false" customHeight="true" outlineLevel="0" collapsed="false">
      <c r="A73" s="21" t="n">
        <v>69</v>
      </c>
      <c r="B73" s="21" t="s">
        <v>1597</v>
      </c>
      <c r="C73" s="175" t="n">
        <v>2021</v>
      </c>
      <c r="D73" s="22" t="n">
        <v>0.15</v>
      </c>
      <c r="E73" s="32" t="n">
        <v>0.01</v>
      </c>
      <c r="F73" s="25" t="n">
        <f aca="false">D73*E73</f>
        <v>0.0015</v>
      </c>
    </row>
    <row r="74" customFormat="false" ht="15" hidden="false" customHeight="true" outlineLevel="0" collapsed="false">
      <c r="A74" s="21" t="n">
        <v>70</v>
      </c>
      <c r="B74" s="21" t="s">
        <v>1598</v>
      </c>
      <c r="C74" s="175" t="n">
        <v>2021</v>
      </c>
      <c r="D74" s="22" t="n">
        <v>2.48</v>
      </c>
      <c r="E74" s="32" t="n">
        <v>0.01</v>
      </c>
      <c r="F74" s="25" t="n">
        <f aca="false">D74*E74</f>
        <v>0.0248</v>
      </c>
    </row>
    <row r="75" customFormat="false" ht="15" hidden="false" customHeight="true" outlineLevel="0" collapsed="false">
      <c r="A75" s="21" t="n">
        <v>71</v>
      </c>
      <c r="B75" s="21" t="s">
        <v>1599</v>
      </c>
      <c r="C75" s="175" t="n">
        <v>2020</v>
      </c>
      <c r="D75" s="22" t="n">
        <v>0.75</v>
      </c>
      <c r="E75" s="32" t="n">
        <v>0.01</v>
      </c>
      <c r="F75" s="25" t="n">
        <f aca="false">D75*E75</f>
        <v>0.0075</v>
      </c>
    </row>
    <row r="76" customFormat="false" ht="15" hidden="false" customHeight="true" outlineLevel="0" collapsed="false">
      <c r="A76" s="21" t="n">
        <v>72</v>
      </c>
      <c r="B76" s="21" t="s">
        <v>1600</v>
      </c>
      <c r="C76" s="175" t="n">
        <v>2021</v>
      </c>
      <c r="D76" s="22" t="n">
        <v>64.32</v>
      </c>
      <c r="E76" s="32" t="n">
        <v>0.01</v>
      </c>
      <c r="F76" s="25" t="n">
        <f aca="false">D76*E76</f>
        <v>0.6432</v>
      </c>
    </row>
    <row r="77" customFormat="false" ht="15" hidden="false" customHeight="true" outlineLevel="0" collapsed="false">
      <c r="A77" s="21" t="n">
        <v>73</v>
      </c>
      <c r="B77" s="21" t="s">
        <v>1601</v>
      </c>
      <c r="C77" s="175" t="n">
        <v>2021</v>
      </c>
      <c r="D77" s="22" t="n">
        <v>12.73</v>
      </c>
      <c r="E77" s="32" t="n">
        <v>0.01</v>
      </c>
      <c r="F77" s="25" t="n">
        <f aca="false">D77*E77</f>
        <v>0.1273</v>
      </c>
    </row>
    <row r="78" customFormat="false" ht="15" hidden="false" customHeight="true" outlineLevel="0" collapsed="false">
      <c r="A78" s="21" t="n">
        <v>74</v>
      </c>
      <c r="B78" s="21" t="s">
        <v>1602</v>
      </c>
      <c r="C78" s="175" t="n">
        <v>2021</v>
      </c>
      <c r="D78" s="22" t="n">
        <v>0.78</v>
      </c>
      <c r="E78" s="32" t="n">
        <v>0.01</v>
      </c>
      <c r="F78" s="25" t="n">
        <f aca="false">D78*E78</f>
        <v>0.0078</v>
      </c>
    </row>
    <row r="79" customFormat="false" ht="15" hidden="false" customHeight="true" outlineLevel="0" collapsed="false">
      <c r="A79" s="21" t="n">
        <v>75</v>
      </c>
      <c r="B79" s="21" t="s">
        <v>1603</v>
      </c>
      <c r="C79" s="175" t="n">
        <v>2022</v>
      </c>
      <c r="D79" s="22" t="n">
        <v>20.6</v>
      </c>
      <c r="E79" s="32" t="n">
        <v>0.01</v>
      </c>
      <c r="F79" s="25" t="n">
        <f aca="false">D79*E79</f>
        <v>0.206</v>
      </c>
    </row>
    <row r="80" customFormat="false" ht="15" hidden="false" customHeight="true" outlineLevel="0" collapsed="false">
      <c r="A80" s="21" t="n">
        <v>76</v>
      </c>
      <c r="B80" s="21" t="s">
        <v>1604</v>
      </c>
      <c r="C80" s="175" t="n">
        <v>2021</v>
      </c>
      <c r="D80" s="22" t="n">
        <v>3.49</v>
      </c>
      <c r="E80" s="32" t="n">
        <v>0.01</v>
      </c>
      <c r="F80" s="25" t="n">
        <f aca="false">D80*E80</f>
        <v>0.0349</v>
      </c>
    </row>
    <row r="81" customFormat="false" ht="15" hidden="false" customHeight="true" outlineLevel="0" collapsed="false">
      <c r="A81" s="21" t="n">
        <v>77</v>
      </c>
      <c r="B81" s="21" t="s">
        <v>1605</v>
      </c>
      <c r="C81" s="175" t="n">
        <v>2021</v>
      </c>
      <c r="D81" s="22" t="n">
        <v>1.9</v>
      </c>
      <c r="E81" s="32" t="n">
        <v>0.01</v>
      </c>
      <c r="F81" s="25" t="n">
        <f aca="false">D81*E81</f>
        <v>0.019</v>
      </c>
    </row>
    <row r="82" customFormat="false" ht="15" hidden="false" customHeight="true" outlineLevel="0" collapsed="false">
      <c r="A82" s="27" t="s">
        <v>1606</v>
      </c>
      <c r="B82" s="27" t="s">
        <v>1607</v>
      </c>
      <c r="C82" s="27"/>
      <c r="D82" s="28" t="n">
        <f aca="false">SUM(D5:D81)</f>
        <v>15140.38</v>
      </c>
      <c r="E82" s="168" t="n">
        <f aca="false">1%</f>
        <v>0.01</v>
      </c>
      <c r="F82" s="28" t="n">
        <f aca="false">SUM(F5:F81)</f>
        <v>151.4038</v>
      </c>
    </row>
    <row r="84" customFormat="false" ht="34.5" hidden="false" customHeight="true" outlineLevel="0" collapsed="false">
      <c r="A84" s="24" t="s">
        <v>1608</v>
      </c>
      <c r="B84" s="24"/>
      <c r="C84" s="24"/>
      <c r="D84" s="24"/>
      <c r="E84" s="24"/>
      <c r="F84" s="24"/>
    </row>
  </sheetData>
  <mergeCells count="3">
    <mergeCell ref="A1:F1"/>
    <mergeCell ref="A2:F2"/>
    <mergeCell ref="A84:F8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4"/>
    <col collapsed="false" customWidth="true" hidden="false" outlineLevel="0" max="10" min="2" style="17" width="15"/>
    <col collapsed="false" customWidth="true" hidden="false" outlineLevel="0" max="11" min="11" style="17" width="55"/>
  </cols>
  <sheetData>
    <row r="1" customFormat="false" ht="19.5" hidden="false" customHeight="true" outlineLevel="0" collapsed="false">
      <c r="A1" s="104" t="s">
        <v>1609</v>
      </c>
      <c r="B1" s="104"/>
      <c r="C1" s="104"/>
      <c r="D1" s="104"/>
      <c r="E1" s="104"/>
      <c r="F1" s="104"/>
      <c r="G1" s="104"/>
      <c r="H1" s="104"/>
      <c r="I1" s="104"/>
      <c r="J1" s="104"/>
      <c r="K1" s="104"/>
    </row>
    <row r="2" customFormat="false" ht="15" hidden="false" customHeight="true" outlineLevel="0" collapsed="false">
      <c r="A2" s="36" t="s">
        <v>1610</v>
      </c>
      <c r="B2" s="36"/>
      <c r="C2" s="36"/>
      <c r="D2" s="36"/>
      <c r="E2" s="36"/>
      <c r="F2" s="36"/>
      <c r="G2" s="36"/>
      <c r="H2" s="36"/>
      <c r="I2" s="36"/>
      <c r="J2" s="36"/>
      <c r="K2" s="36"/>
    </row>
    <row r="3" customFormat="false" ht="15" hidden="false" customHeight="true" outlineLevel="0" collapsed="false">
      <c r="A3" s="4"/>
      <c r="B3" s="4"/>
      <c r="C3" s="4"/>
      <c r="D3" s="4"/>
      <c r="E3" s="4"/>
      <c r="F3" s="4"/>
      <c r="G3" s="4"/>
      <c r="H3" s="4"/>
      <c r="I3" s="4"/>
      <c r="J3" s="4"/>
      <c r="K3" s="4"/>
    </row>
    <row r="4" customFormat="false" ht="23.25" hidden="false" customHeight="true" outlineLevel="0" collapsed="false">
      <c r="A4" s="37" t="s">
        <v>1611</v>
      </c>
      <c r="B4" s="37" t="s">
        <v>1612</v>
      </c>
      <c r="C4" s="37" t="s">
        <v>1613</v>
      </c>
      <c r="D4" s="37" t="s">
        <v>1614</v>
      </c>
      <c r="E4" s="37" t="s">
        <v>1615</v>
      </c>
      <c r="F4" s="37" t="s">
        <v>1616</v>
      </c>
      <c r="G4" s="37" t="s">
        <v>1617</v>
      </c>
      <c r="H4" s="37" t="s">
        <v>1618</v>
      </c>
      <c r="I4" s="37" t="s">
        <v>1619</v>
      </c>
      <c r="J4" s="37" t="s">
        <v>1620</v>
      </c>
      <c r="K4" s="37" t="s">
        <v>40</v>
      </c>
    </row>
    <row r="5" customFormat="false" ht="23.25" hidden="false" customHeight="true" outlineLevel="0" collapsed="false">
      <c r="A5" s="4" t="s">
        <v>1621</v>
      </c>
      <c r="B5" s="176" t="n">
        <v>258.6</v>
      </c>
      <c r="C5" s="43" t="n">
        <v>1</v>
      </c>
      <c r="D5" s="43" t="n">
        <v>0.570572312451663</v>
      </c>
      <c r="E5" s="177" t="n">
        <f aca="false">B5*C5*D5</f>
        <v>147.55</v>
      </c>
      <c r="F5" s="178" t="n">
        <v>0</v>
      </c>
      <c r="G5" s="177" t="n">
        <f aca="false">E5*F5</f>
        <v>0</v>
      </c>
      <c r="H5" s="177" t="n">
        <f aca="false">E5-G5</f>
        <v>147.55</v>
      </c>
      <c r="I5" s="178" t="n">
        <v>0.3</v>
      </c>
      <c r="J5" s="177" t="n">
        <f aca="false">H5*I5</f>
        <v>44.265</v>
      </c>
      <c r="K5" s="4" t="s">
        <v>1198</v>
      </c>
    </row>
    <row r="6" customFormat="false" ht="23.25" hidden="false" customHeight="true" outlineLevel="0" collapsed="false">
      <c r="A6" s="4" t="s">
        <v>1622</v>
      </c>
      <c r="B6" s="176" t="n">
        <v>277.97</v>
      </c>
      <c r="C6" s="43" t="n">
        <v>0.3708</v>
      </c>
      <c r="D6" s="43" t="n">
        <v>1</v>
      </c>
      <c r="E6" s="177" t="n">
        <f aca="false">B6*C6*D6</f>
        <v>103.071276</v>
      </c>
      <c r="F6" s="178" t="n">
        <v>0.35</v>
      </c>
      <c r="G6" s="177" t="n">
        <f aca="false">E6*F6</f>
        <v>36.0749466</v>
      </c>
      <c r="H6" s="177" t="n">
        <f aca="false">E6-G6</f>
        <v>66.9963294</v>
      </c>
      <c r="I6" s="178" t="n">
        <v>0.3</v>
      </c>
      <c r="J6" s="177" t="n">
        <f aca="false">H6*I6</f>
        <v>20.09889882</v>
      </c>
      <c r="K6" s="4" t="s">
        <v>1206</v>
      </c>
    </row>
    <row r="7" customFormat="false" ht="34.5" hidden="false" customHeight="true" outlineLevel="0" collapsed="false">
      <c r="A7" s="4" t="s">
        <v>1623</v>
      </c>
      <c r="B7" s="176" t="n">
        <v>16.86</v>
      </c>
      <c r="C7" s="43" t="n">
        <v>0.73</v>
      </c>
      <c r="D7" s="43" t="n">
        <v>0.9</v>
      </c>
      <c r="E7" s="177" t="n">
        <f aca="false">B7*C7*D7</f>
        <v>11.07702</v>
      </c>
      <c r="F7" s="178" t="n">
        <v>0</v>
      </c>
      <c r="G7" s="177" t="n">
        <f aca="false">E7*F7</f>
        <v>0</v>
      </c>
      <c r="H7" s="177" t="n">
        <f aca="false">E7-G7</f>
        <v>11.07702</v>
      </c>
      <c r="I7" s="178" t="n">
        <v>0.3</v>
      </c>
      <c r="J7" s="177" t="n">
        <f aca="false">H7*I7</f>
        <v>3.323106</v>
      </c>
      <c r="K7" s="4" t="s">
        <v>1210</v>
      </c>
    </row>
    <row r="8" customFormat="false" ht="23.25" hidden="false" customHeight="true" outlineLevel="0" collapsed="false">
      <c r="A8" s="4" t="s">
        <v>1624</v>
      </c>
      <c r="B8" s="176" t="n">
        <v>35.94</v>
      </c>
      <c r="C8" s="43" t="n">
        <v>1</v>
      </c>
      <c r="D8" s="43" t="n">
        <v>0.55</v>
      </c>
      <c r="E8" s="177" t="n">
        <f aca="false">B8*C8*D8</f>
        <v>19.767</v>
      </c>
      <c r="F8" s="178" t="n">
        <v>0.2</v>
      </c>
      <c r="G8" s="177" t="n">
        <f aca="false">E8*F8</f>
        <v>3.9534</v>
      </c>
      <c r="H8" s="177" t="n">
        <f aca="false">E8-G8</f>
        <v>15.8136</v>
      </c>
      <c r="I8" s="178" t="n">
        <v>0.3</v>
      </c>
      <c r="J8" s="177" t="n">
        <f aca="false">H8*I8</f>
        <v>4.74408</v>
      </c>
      <c r="K8" s="4" t="s">
        <v>1214</v>
      </c>
    </row>
    <row r="9" customFormat="false" ht="23.25" hidden="false" customHeight="true" outlineLevel="0" collapsed="false">
      <c r="A9" s="4" t="s">
        <v>1625</v>
      </c>
      <c r="B9" s="176" t="n">
        <v>20.95</v>
      </c>
      <c r="C9" s="43" t="n">
        <v>0.2844</v>
      </c>
      <c r="D9" s="43" t="n">
        <v>0.55</v>
      </c>
      <c r="E9" s="177" t="n">
        <f aca="false">B9*C9*D9</f>
        <v>3.276999</v>
      </c>
      <c r="F9" s="178" t="n">
        <v>0.3</v>
      </c>
      <c r="G9" s="177" t="n">
        <f aca="false">E9*F9</f>
        <v>0.9830997</v>
      </c>
      <c r="H9" s="177" t="n">
        <f aca="false">E9-G9</f>
        <v>2.2938993</v>
      </c>
      <c r="I9" s="178" t="n">
        <v>0.3</v>
      </c>
      <c r="J9" s="177" t="n">
        <f aca="false">H9*I9</f>
        <v>0.68816979</v>
      </c>
      <c r="K9" s="4" t="s">
        <v>1218</v>
      </c>
    </row>
    <row r="10" customFormat="false" ht="23.25" hidden="false" customHeight="true" outlineLevel="0" collapsed="false">
      <c r="A10" s="4" t="s">
        <v>1626</v>
      </c>
      <c r="B10" s="176" t="n">
        <v>7.1</v>
      </c>
      <c r="C10" s="43" t="n">
        <v>0.9</v>
      </c>
      <c r="D10" s="43" t="n">
        <v>0.25</v>
      </c>
      <c r="E10" s="177" t="n">
        <f aca="false">B10*C10*D10</f>
        <v>1.5975</v>
      </c>
      <c r="F10" s="178" t="n">
        <v>0.15</v>
      </c>
      <c r="G10" s="177" t="n">
        <f aca="false">E10*F10</f>
        <v>0.239625</v>
      </c>
      <c r="H10" s="177" t="n">
        <f aca="false">E10-G10</f>
        <v>1.357875</v>
      </c>
      <c r="I10" s="178" t="n">
        <v>0.3</v>
      </c>
      <c r="J10" s="177" t="n">
        <f aca="false">H10*I10</f>
        <v>0.4073625</v>
      </c>
      <c r="K10" s="4" t="s">
        <v>1627</v>
      </c>
    </row>
    <row r="11" customFormat="false" ht="23.25" hidden="false" customHeight="true" outlineLevel="0" collapsed="false">
      <c r="A11" s="4" t="s">
        <v>1628</v>
      </c>
      <c r="B11" s="176" t="n">
        <v>5.59</v>
      </c>
      <c r="C11" s="43" t="n">
        <v>0.405</v>
      </c>
      <c r="D11" s="43" t="n">
        <v>0.85</v>
      </c>
      <c r="E11" s="177" t="n">
        <f aca="false">B11*C11*D11</f>
        <v>1.9243575</v>
      </c>
      <c r="F11" s="178" t="n">
        <v>0.25</v>
      </c>
      <c r="G11" s="177" t="n">
        <f aca="false">E11*F11</f>
        <v>0.481089375</v>
      </c>
      <c r="H11" s="177" t="n">
        <f aca="false">E11-G11</f>
        <v>1.443268125</v>
      </c>
      <c r="I11" s="178" t="n">
        <v>0.3</v>
      </c>
      <c r="J11" s="177" t="n">
        <f aca="false">H11*I11</f>
        <v>0.4329804375</v>
      </c>
      <c r="K11" s="4" t="s">
        <v>1629</v>
      </c>
    </row>
    <row r="12" customFormat="false" ht="15" hidden="false" customHeight="true" outlineLevel="0" collapsed="false">
      <c r="A12" s="4"/>
      <c r="B12" s="50"/>
      <c r="C12" s="4"/>
      <c r="D12" s="4"/>
      <c r="E12" s="177"/>
      <c r="F12" s="177"/>
      <c r="G12" s="177"/>
      <c r="H12" s="177"/>
      <c r="I12" s="179"/>
      <c r="J12" s="177"/>
      <c r="K12" s="4"/>
    </row>
    <row r="13" customFormat="false" ht="15" hidden="false" customHeight="true" outlineLevel="0" collapsed="false">
      <c r="A13" s="45" t="s">
        <v>1606</v>
      </c>
      <c r="B13" s="180" t="n">
        <f aca="false">SUM(B5:B11)</f>
        <v>623.01</v>
      </c>
      <c r="C13" s="45"/>
      <c r="D13" s="45"/>
      <c r="E13" s="181" t="n">
        <f aca="false">SUM(E5:E11)</f>
        <v>288.2641525</v>
      </c>
      <c r="F13" s="181"/>
      <c r="G13" s="181" t="n">
        <f aca="false">SUM(G5:G11)</f>
        <v>41.732160675</v>
      </c>
      <c r="H13" s="181" t="n">
        <f aca="false">SUM(H5:H11)</f>
        <v>246.531991825</v>
      </c>
      <c r="I13" s="129"/>
      <c r="J13" s="181" t="n">
        <f aca="false">SUM(J5:J11)</f>
        <v>73.9595975475</v>
      </c>
      <c r="K13" s="4"/>
    </row>
    <row r="14" customFormat="false" ht="15" hidden="false" customHeight="true" outlineLevel="0" collapsed="false">
      <c r="A14" s="4"/>
      <c r="B14" s="4"/>
      <c r="C14" s="4"/>
      <c r="D14" s="4"/>
      <c r="E14" s="4"/>
      <c r="F14" s="4"/>
      <c r="G14" s="4"/>
      <c r="H14" s="4"/>
      <c r="I14" s="4"/>
      <c r="J14" s="4"/>
      <c r="K14" s="4"/>
    </row>
    <row r="15" customFormat="false" ht="15" hidden="false" customHeight="true" outlineLevel="0" collapsed="false">
      <c r="A15" s="37" t="s">
        <v>1630</v>
      </c>
      <c r="B15" s="37" t="s">
        <v>827</v>
      </c>
      <c r="C15" s="4"/>
      <c r="D15" s="4"/>
      <c r="E15" s="4"/>
      <c r="F15" s="4"/>
      <c r="G15" s="4"/>
      <c r="H15" s="4"/>
      <c r="I15" s="4"/>
      <c r="J15" s="4"/>
      <c r="K15" s="4"/>
    </row>
    <row r="16" customFormat="false" ht="23.25" hidden="false" customHeight="true" outlineLevel="0" collapsed="false">
      <c r="A16" s="4" t="s">
        <v>1631</v>
      </c>
      <c r="B16" s="4" t="s">
        <v>14</v>
      </c>
      <c r="C16" s="4"/>
      <c r="D16" s="4"/>
      <c r="E16" s="4"/>
      <c r="F16" s="4"/>
      <c r="G16" s="4"/>
      <c r="H16" s="4"/>
      <c r="I16" s="4"/>
      <c r="J16" s="4"/>
      <c r="K16" s="4"/>
    </row>
    <row r="17" customFormat="false" ht="34.5" hidden="false" customHeight="true" outlineLevel="0" collapsed="false">
      <c r="A17" s="4" t="s">
        <v>1632</v>
      </c>
      <c r="B17" s="4" t="s">
        <v>1633</v>
      </c>
      <c r="C17" s="4"/>
      <c r="D17" s="4"/>
      <c r="E17" s="4"/>
      <c r="F17" s="4"/>
      <c r="G17" s="4"/>
      <c r="H17" s="4"/>
      <c r="I17" s="4"/>
      <c r="J17" s="4"/>
      <c r="K17" s="4"/>
    </row>
    <row r="18" customFormat="false" ht="34.5" hidden="false" customHeight="true" outlineLevel="0" collapsed="false">
      <c r="A18" s="4" t="s">
        <v>1634</v>
      </c>
      <c r="B18" s="4" t="s">
        <v>1635</v>
      </c>
      <c r="C18" s="4"/>
      <c r="D18" s="4"/>
      <c r="E18" s="4"/>
      <c r="F18" s="4"/>
      <c r="G18" s="4"/>
      <c r="H18" s="4"/>
      <c r="I18" s="4"/>
      <c r="J18" s="4"/>
      <c r="K18" s="4"/>
    </row>
    <row r="19" customFormat="false" ht="45.75" hidden="false" customHeight="true" outlineLevel="0" collapsed="false">
      <c r="A19" s="4" t="s">
        <v>1636</v>
      </c>
      <c r="B19" s="4" t="s">
        <v>1637</v>
      </c>
      <c r="C19" s="4"/>
      <c r="D19" s="4"/>
      <c r="E19" s="4"/>
      <c r="F19" s="4"/>
      <c r="G19" s="4"/>
      <c r="H19" s="4"/>
      <c r="I19" s="4"/>
      <c r="J19" s="4"/>
      <c r="K19" s="4"/>
    </row>
    <row r="20" customFormat="false" ht="57" hidden="false" customHeight="true" outlineLevel="0" collapsed="false">
      <c r="A20" s="4" t="s">
        <v>1638</v>
      </c>
      <c r="B20" s="4" t="s">
        <v>1639</v>
      </c>
      <c r="C20" s="4"/>
      <c r="D20" s="4"/>
      <c r="E20" s="4"/>
      <c r="F20" s="4"/>
      <c r="G20" s="4"/>
      <c r="H20" s="4"/>
      <c r="I20" s="4"/>
      <c r="J20" s="4"/>
      <c r="K20" s="4"/>
    </row>
    <row r="21" customFormat="false" ht="15" hidden="false" customHeight="true" outlineLevel="0" collapsed="false">
      <c r="A21" s="4"/>
      <c r="B21" s="4"/>
      <c r="C21" s="4"/>
      <c r="D21" s="4"/>
      <c r="E21" s="4"/>
      <c r="F21" s="4"/>
      <c r="G21" s="4"/>
      <c r="H21" s="4"/>
      <c r="I21" s="4"/>
      <c r="J21" s="4"/>
      <c r="K21" s="4"/>
    </row>
    <row r="22" customFormat="false" ht="15" hidden="false" customHeight="true" outlineLevel="0" collapsed="false">
      <c r="A22" s="4"/>
      <c r="B22" s="4"/>
      <c r="C22" s="4"/>
      <c r="D22" s="4"/>
      <c r="E22" s="4"/>
      <c r="F22" s="4"/>
      <c r="G22" s="4"/>
      <c r="H22" s="4"/>
      <c r="I22" s="4"/>
      <c r="J22" s="4"/>
      <c r="K22" s="4"/>
    </row>
    <row r="23" customFormat="false" ht="15" hidden="false" customHeight="true" outlineLevel="0" collapsed="false">
      <c r="A23" s="4"/>
      <c r="B23" s="4"/>
      <c r="C23" s="4"/>
      <c r="D23" s="4"/>
      <c r="E23" s="4"/>
      <c r="F23" s="4"/>
      <c r="G23" s="4"/>
      <c r="H23" s="4"/>
      <c r="I23" s="4"/>
      <c r="J23" s="4"/>
      <c r="K23" s="4"/>
    </row>
    <row r="24" customFormat="false" ht="15" hidden="false" customHeight="true" outlineLevel="0" collapsed="false">
      <c r="A24" s="4"/>
      <c r="B24" s="4"/>
      <c r="C24" s="4"/>
      <c r="D24" s="4"/>
      <c r="E24" s="4"/>
      <c r="F24" s="4"/>
      <c r="G24" s="4"/>
      <c r="H24" s="4"/>
      <c r="I24" s="4"/>
      <c r="J24" s="4"/>
      <c r="K24" s="4"/>
    </row>
    <row r="25" customFormat="false" ht="15" hidden="false" customHeight="true" outlineLevel="0" collapsed="false">
      <c r="A25" s="4"/>
      <c r="B25" s="4"/>
      <c r="C25" s="4"/>
      <c r="D25" s="4"/>
      <c r="E25" s="4"/>
      <c r="F25" s="4"/>
      <c r="G25" s="4"/>
      <c r="H25" s="4"/>
      <c r="I25" s="4"/>
      <c r="J25" s="4"/>
      <c r="K25" s="4"/>
    </row>
    <row r="26" customFormat="false" ht="15" hidden="false" customHeight="true" outlineLevel="0" collapsed="false">
      <c r="A26" s="4"/>
      <c r="B26" s="4"/>
      <c r="C26" s="4"/>
      <c r="D26" s="4"/>
      <c r="E26" s="4"/>
      <c r="F26" s="4"/>
      <c r="G26" s="4"/>
      <c r="H26" s="4"/>
      <c r="I26" s="4"/>
      <c r="J26" s="4"/>
      <c r="K26" s="4"/>
    </row>
    <row r="27" customFormat="false" ht="15" hidden="false" customHeight="true" outlineLevel="0" collapsed="false">
      <c r="A27" s="4"/>
      <c r="B27" s="4"/>
      <c r="C27" s="4"/>
      <c r="D27" s="4"/>
      <c r="E27" s="4"/>
      <c r="F27" s="4"/>
      <c r="G27" s="4"/>
      <c r="H27" s="4"/>
      <c r="I27" s="4"/>
      <c r="J27" s="4"/>
      <c r="K27" s="4"/>
    </row>
    <row r="28" customFormat="false" ht="15" hidden="false" customHeight="true" outlineLevel="0" collapsed="false">
      <c r="A28" s="4"/>
      <c r="B28" s="4"/>
      <c r="C28" s="4"/>
      <c r="D28" s="4"/>
      <c r="E28" s="4"/>
      <c r="F28" s="4"/>
      <c r="G28" s="4"/>
      <c r="H28" s="4"/>
      <c r="I28" s="4"/>
      <c r="J28" s="4"/>
      <c r="K28" s="4"/>
    </row>
    <row r="29" customFormat="false" ht="15" hidden="false" customHeight="true" outlineLevel="0" collapsed="false">
      <c r="A29" s="4"/>
      <c r="B29" s="4"/>
      <c r="C29" s="4"/>
      <c r="D29" s="4"/>
      <c r="E29" s="4"/>
      <c r="F29" s="4"/>
      <c r="G29" s="4"/>
      <c r="H29" s="4"/>
      <c r="I29" s="4"/>
      <c r="J29" s="4"/>
      <c r="K29" s="4"/>
    </row>
    <row r="30" customFormat="false" ht="15" hidden="false" customHeight="true" outlineLevel="0" collapsed="false">
      <c r="A30" s="4"/>
      <c r="B30" s="4"/>
      <c r="C30" s="4"/>
      <c r="D30" s="4"/>
      <c r="E30" s="4"/>
      <c r="F30" s="4"/>
      <c r="G30" s="4"/>
      <c r="H30" s="4"/>
      <c r="I30" s="4"/>
      <c r="J30" s="4"/>
      <c r="K30" s="4"/>
    </row>
    <row r="31" customFormat="false" ht="15" hidden="false" customHeight="true" outlineLevel="0" collapsed="false">
      <c r="A31" s="4"/>
      <c r="B31" s="4"/>
      <c r="C31" s="4"/>
      <c r="D31" s="4"/>
      <c r="E31" s="4"/>
      <c r="F31" s="4"/>
      <c r="G31" s="4"/>
      <c r="H31" s="4"/>
      <c r="I31" s="4"/>
      <c r="J31" s="4"/>
      <c r="K31" s="4"/>
    </row>
    <row r="32" customFormat="false" ht="15" hidden="false" customHeight="true" outlineLevel="0" collapsed="false">
      <c r="A32" s="4"/>
      <c r="B32" s="4"/>
      <c r="C32" s="4"/>
      <c r="D32" s="4"/>
      <c r="E32" s="4"/>
      <c r="F32" s="4"/>
      <c r="G32" s="4"/>
      <c r="H32" s="4"/>
      <c r="I32" s="4"/>
      <c r="J32" s="4"/>
      <c r="K32" s="4"/>
    </row>
    <row r="33" customFormat="false" ht="15" hidden="false" customHeight="true" outlineLevel="0" collapsed="false">
      <c r="A33" s="4"/>
      <c r="B33" s="4"/>
      <c r="C33" s="4"/>
      <c r="D33" s="4"/>
      <c r="E33" s="4"/>
      <c r="F33" s="4"/>
      <c r="G33" s="4"/>
      <c r="H33" s="4"/>
      <c r="I33" s="4"/>
      <c r="J33" s="4"/>
      <c r="K33" s="4"/>
    </row>
    <row r="34" customFormat="false" ht="15" hidden="false" customHeight="true" outlineLevel="0" collapsed="false">
      <c r="A34" s="4"/>
      <c r="B34" s="4"/>
      <c r="C34" s="4"/>
      <c r="D34" s="4"/>
      <c r="E34" s="4"/>
      <c r="F34" s="4"/>
      <c r="G34" s="4"/>
      <c r="H34" s="4"/>
      <c r="I34" s="4"/>
      <c r="J34" s="4"/>
      <c r="K34" s="4"/>
    </row>
    <row r="35" customFormat="false" ht="15" hidden="false" customHeight="true" outlineLevel="0" collapsed="false">
      <c r="A35" s="4"/>
      <c r="B35" s="4"/>
      <c r="C35" s="4"/>
      <c r="D35" s="4"/>
      <c r="E35" s="4"/>
      <c r="F35" s="4"/>
      <c r="G35" s="4"/>
      <c r="H35" s="4"/>
      <c r="I35" s="4"/>
      <c r="J35" s="4"/>
      <c r="K35" s="4"/>
    </row>
    <row r="36" customFormat="false" ht="15" hidden="false" customHeight="true" outlineLevel="0" collapsed="false">
      <c r="A36" s="4"/>
      <c r="B36" s="4"/>
      <c r="C36" s="4"/>
      <c r="D36" s="4"/>
      <c r="E36" s="4"/>
      <c r="F36" s="4"/>
      <c r="G36" s="4"/>
      <c r="H36" s="4"/>
      <c r="I36" s="4"/>
      <c r="J36" s="4"/>
      <c r="K36" s="4"/>
    </row>
    <row r="37" customFormat="false" ht="15" hidden="false" customHeight="true" outlineLevel="0" collapsed="false">
      <c r="A37" s="4"/>
      <c r="B37" s="4"/>
      <c r="C37" s="4"/>
      <c r="D37" s="4"/>
      <c r="E37" s="4"/>
      <c r="F37" s="4"/>
      <c r="G37" s="4"/>
      <c r="H37" s="4"/>
      <c r="I37" s="4"/>
      <c r="J37" s="4"/>
      <c r="K37" s="4"/>
    </row>
    <row r="38" customFormat="false" ht="15" hidden="false" customHeight="true" outlineLevel="0" collapsed="false">
      <c r="A38" s="4"/>
      <c r="B38" s="4"/>
      <c r="C38" s="4"/>
      <c r="D38" s="4"/>
      <c r="E38" s="4"/>
      <c r="F38" s="4"/>
      <c r="G38" s="4"/>
      <c r="H38" s="4"/>
      <c r="I38" s="4"/>
      <c r="J38" s="4"/>
      <c r="K38" s="4"/>
    </row>
    <row r="39" customFormat="false" ht="15" hidden="false" customHeight="true" outlineLevel="0" collapsed="false">
      <c r="A39" s="4"/>
      <c r="B39" s="4"/>
      <c r="C39" s="4"/>
      <c r="D39" s="4"/>
      <c r="E39" s="4"/>
      <c r="F39" s="4"/>
      <c r="G39" s="4"/>
      <c r="H39" s="4"/>
      <c r="I39" s="4"/>
      <c r="J39" s="4"/>
      <c r="K39" s="4"/>
    </row>
    <row r="40" customFormat="false" ht="15" hidden="false" customHeight="true" outlineLevel="0" collapsed="false">
      <c r="A40" s="4"/>
      <c r="B40" s="4"/>
      <c r="C40" s="4"/>
      <c r="D40" s="4"/>
      <c r="E40" s="4"/>
      <c r="F40" s="4"/>
      <c r="G40" s="4"/>
      <c r="H40" s="4"/>
      <c r="I40" s="4"/>
      <c r="J40" s="4"/>
      <c r="K40" s="4"/>
    </row>
    <row r="41" customFormat="false" ht="15" hidden="false" customHeight="true" outlineLevel="0" collapsed="false">
      <c r="A41" s="4"/>
      <c r="B41" s="4"/>
      <c r="C41" s="4"/>
      <c r="D41" s="4"/>
      <c r="E41" s="4"/>
      <c r="F41" s="4"/>
      <c r="G41" s="4"/>
      <c r="H41" s="4"/>
      <c r="I41" s="4"/>
      <c r="J41" s="4"/>
      <c r="K41" s="4"/>
    </row>
    <row r="42" customFormat="false" ht="15" hidden="false" customHeight="true" outlineLevel="0" collapsed="false">
      <c r="A42" s="4"/>
      <c r="B42" s="4"/>
      <c r="C42" s="4"/>
      <c r="D42" s="4"/>
      <c r="E42" s="4"/>
      <c r="F42" s="4"/>
      <c r="G42" s="4"/>
      <c r="H42" s="4"/>
      <c r="I42" s="4"/>
      <c r="J42" s="4"/>
      <c r="K42" s="4"/>
    </row>
    <row r="43" customFormat="false" ht="15" hidden="false" customHeight="true" outlineLevel="0" collapsed="false">
      <c r="A43" s="4"/>
      <c r="B43" s="4"/>
      <c r="C43" s="4"/>
      <c r="D43" s="4"/>
      <c r="E43" s="4"/>
      <c r="F43" s="4"/>
      <c r="G43" s="4"/>
      <c r="H43" s="4"/>
      <c r="I43" s="4"/>
      <c r="J43" s="4"/>
      <c r="K43" s="4"/>
    </row>
    <row r="44" customFormat="false" ht="15" hidden="false" customHeight="true" outlineLevel="0" collapsed="false">
      <c r="A44" s="4"/>
      <c r="B44" s="4"/>
      <c r="C44" s="4"/>
      <c r="D44" s="4"/>
      <c r="E44" s="4"/>
      <c r="F44" s="4"/>
      <c r="G44" s="4"/>
      <c r="H44" s="4"/>
      <c r="I44" s="4"/>
      <c r="J44" s="4"/>
      <c r="K44" s="4"/>
    </row>
    <row r="45" customFormat="false" ht="15" hidden="false" customHeight="true" outlineLevel="0" collapsed="false">
      <c r="A45" s="4"/>
      <c r="B45" s="4"/>
      <c r="C45" s="4"/>
      <c r="D45" s="4"/>
      <c r="E45" s="4"/>
      <c r="F45" s="4"/>
      <c r="G45" s="4"/>
      <c r="H45" s="4"/>
      <c r="I45" s="4"/>
      <c r="J45" s="4"/>
      <c r="K45" s="4"/>
    </row>
    <row r="46" customFormat="false" ht="15" hidden="false" customHeight="true" outlineLevel="0" collapsed="false">
      <c r="A46" s="4"/>
      <c r="B46" s="4"/>
      <c r="C46" s="4"/>
      <c r="D46" s="4"/>
      <c r="E46" s="4"/>
      <c r="F46" s="4"/>
      <c r="G46" s="4"/>
      <c r="H46" s="4"/>
      <c r="I46" s="4"/>
      <c r="J46" s="4"/>
      <c r="K46" s="4"/>
    </row>
    <row r="47" customFormat="false" ht="15" hidden="false" customHeight="true" outlineLevel="0" collapsed="false">
      <c r="A47" s="4"/>
      <c r="B47" s="4"/>
      <c r="C47" s="4"/>
      <c r="D47" s="4"/>
      <c r="E47" s="4"/>
      <c r="F47" s="4"/>
      <c r="G47" s="4"/>
      <c r="H47" s="4"/>
      <c r="I47" s="4"/>
      <c r="J47" s="4"/>
      <c r="K47" s="4"/>
    </row>
    <row r="48" customFormat="false" ht="15" hidden="false" customHeight="true" outlineLevel="0" collapsed="false">
      <c r="A48" s="4"/>
      <c r="B48" s="4"/>
      <c r="C48" s="4"/>
      <c r="D48" s="4"/>
      <c r="E48" s="4"/>
      <c r="F48" s="4"/>
      <c r="G48" s="4"/>
      <c r="H48" s="4"/>
      <c r="I48" s="4"/>
      <c r="J48" s="4"/>
      <c r="K48" s="4"/>
    </row>
    <row r="49" customFormat="false" ht="15" hidden="false" customHeight="true" outlineLevel="0" collapsed="false">
      <c r="A49" s="4"/>
      <c r="B49" s="4"/>
      <c r="C49" s="4"/>
      <c r="D49" s="4"/>
      <c r="E49" s="4"/>
      <c r="F49" s="4"/>
      <c r="G49" s="4"/>
      <c r="H49" s="4"/>
      <c r="I49" s="4"/>
      <c r="J49" s="4"/>
      <c r="K49" s="4"/>
    </row>
    <row r="50" customFormat="false" ht="15" hidden="false" customHeight="true" outlineLevel="0" collapsed="false">
      <c r="A50" s="4"/>
      <c r="B50" s="4"/>
      <c r="C50" s="4"/>
      <c r="D50" s="4"/>
      <c r="E50" s="4"/>
      <c r="F50" s="4"/>
      <c r="G50" s="4"/>
      <c r="H50" s="4"/>
      <c r="I50" s="4"/>
      <c r="J50" s="4"/>
      <c r="K50" s="4"/>
    </row>
    <row r="51" customFormat="false" ht="15" hidden="false" customHeight="true" outlineLevel="0" collapsed="false">
      <c r="A51" s="4"/>
      <c r="B51" s="4"/>
      <c r="C51" s="4"/>
      <c r="D51" s="4"/>
      <c r="E51" s="4"/>
      <c r="F51" s="4"/>
      <c r="G51" s="4"/>
      <c r="H51" s="4"/>
      <c r="I51" s="4"/>
      <c r="J51" s="4"/>
      <c r="K51" s="4"/>
    </row>
    <row r="52" customFormat="false" ht="15" hidden="false" customHeight="true" outlineLevel="0" collapsed="false">
      <c r="A52" s="4"/>
      <c r="B52" s="4"/>
      <c r="C52" s="4"/>
      <c r="D52" s="4"/>
      <c r="E52" s="4"/>
      <c r="F52" s="4"/>
      <c r="G52" s="4"/>
      <c r="H52" s="4"/>
      <c r="I52" s="4"/>
      <c r="J52" s="4"/>
      <c r="K52" s="4"/>
    </row>
    <row r="53" customFormat="false" ht="15" hidden="false" customHeight="true" outlineLevel="0" collapsed="false">
      <c r="A53" s="4"/>
      <c r="B53" s="4"/>
      <c r="C53" s="4"/>
      <c r="D53" s="4"/>
      <c r="E53" s="4"/>
      <c r="F53" s="4"/>
      <c r="G53" s="4"/>
      <c r="H53" s="4"/>
      <c r="I53" s="4"/>
      <c r="J53" s="4"/>
      <c r="K53" s="4"/>
    </row>
    <row r="54" customFormat="false" ht="15" hidden="false" customHeight="true" outlineLevel="0" collapsed="false">
      <c r="A54" s="4"/>
      <c r="B54" s="4"/>
      <c r="C54" s="4"/>
      <c r="D54" s="4"/>
      <c r="E54" s="4"/>
      <c r="F54" s="4"/>
      <c r="G54" s="4"/>
      <c r="H54" s="4"/>
      <c r="I54" s="4"/>
      <c r="J54" s="4"/>
      <c r="K54" s="4"/>
    </row>
    <row r="55" customFormat="false" ht="15" hidden="false" customHeight="true" outlineLevel="0" collapsed="false">
      <c r="A55" s="4"/>
      <c r="B55" s="4"/>
      <c r="C55" s="4"/>
      <c r="D55" s="4"/>
      <c r="E55" s="4"/>
      <c r="F55" s="4"/>
      <c r="G55" s="4"/>
      <c r="H55" s="4"/>
      <c r="I55" s="4"/>
      <c r="J55" s="4"/>
      <c r="K55" s="4"/>
    </row>
    <row r="56" customFormat="false" ht="15" hidden="false" customHeight="true" outlineLevel="0" collapsed="false">
      <c r="A56" s="4"/>
      <c r="B56" s="4"/>
      <c r="C56" s="4"/>
      <c r="D56" s="4"/>
      <c r="E56" s="4"/>
      <c r="F56" s="4"/>
      <c r="G56" s="4"/>
      <c r="H56" s="4"/>
      <c r="I56" s="4"/>
      <c r="J56" s="4"/>
      <c r="K56" s="4"/>
    </row>
    <row r="57" customFormat="false" ht="15" hidden="false" customHeight="true" outlineLevel="0" collapsed="false">
      <c r="A57" s="4"/>
      <c r="B57" s="4"/>
      <c r="C57" s="4"/>
      <c r="D57" s="4"/>
      <c r="E57" s="4"/>
      <c r="F57" s="4"/>
      <c r="G57" s="4"/>
      <c r="H57" s="4"/>
      <c r="I57" s="4"/>
      <c r="J57" s="4"/>
      <c r="K57" s="4"/>
    </row>
    <row r="58" customFormat="false" ht="15" hidden="false" customHeight="true" outlineLevel="0" collapsed="false">
      <c r="A58" s="4"/>
      <c r="B58" s="4"/>
      <c r="C58" s="4"/>
      <c r="D58" s="4"/>
      <c r="E58" s="4"/>
      <c r="F58" s="4"/>
      <c r="G58" s="4"/>
      <c r="H58" s="4"/>
      <c r="I58" s="4"/>
      <c r="J58" s="4"/>
      <c r="K58" s="4"/>
    </row>
    <row r="59" customFormat="false" ht="15" hidden="false" customHeight="true" outlineLevel="0" collapsed="false">
      <c r="A59" s="4"/>
      <c r="B59" s="4"/>
      <c r="C59" s="4"/>
      <c r="D59" s="4"/>
      <c r="E59" s="4"/>
      <c r="F59" s="4"/>
      <c r="G59" s="4"/>
      <c r="H59" s="4"/>
      <c r="I59" s="4"/>
      <c r="J59" s="4"/>
      <c r="K59" s="4"/>
    </row>
    <row r="60" customFormat="false" ht="15" hidden="false" customHeight="true" outlineLevel="0" collapsed="false">
      <c r="A60" s="4"/>
      <c r="B60" s="4"/>
      <c r="C60" s="4"/>
      <c r="D60" s="4"/>
      <c r="E60" s="4"/>
      <c r="F60" s="4"/>
      <c r="G60" s="4"/>
      <c r="H60" s="4"/>
      <c r="I60" s="4"/>
      <c r="J60" s="4"/>
      <c r="K60" s="4"/>
    </row>
    <row r="61" customFormat="false" ht="15" hidden="false" customHeight="true" outlineLevel="0" collapsed="false">
      <c r="A61" s="4"/>
      <c r="B61" s="4"/>
      <c r="C61" s="4"/>
      <c r="D61" s="4"/>
      <c r="E61" s="4"/>
      <c r="F61" s="4"/>
      <c r="G61" s="4"/>
      <c r="H61" s="4"/>
      <c r="I61" s="4"/>
      <c r="J61" s="4"/>
      <c r="K61" s="4"/>
    </row>
    <row r="62" customFormat="false" ht="15" hidden="false" customHeight="true" outlineLevel="0" collapsed="false">
      <c r="A62" s="4"/>
      <c r="B62" s="4"/>
      <c r="C62" s="4"/>
      <c r="D62" s="4"/>
      <c r="E62" s="4"/>
      <c r="F62" s="4"/>
      <c r="G62" s="4"/>
      <c r="H62" s="4"/>
      <c r="I62" s="4"/>
      <c r="J62" s="4"/>
      <c r="K62" s="4"/>
    </row>
    <row r="63" customFormat="false" ht="15" hidden="false" customHeight="true" outlineLevel="0" collapsed="false">
      <c r="A63" s="4"/>
      <c r="B63" s="4"/>
      <c r="C63" s="4"/>
      <c r="D63" s="4"/>
      <c r="E63" s="4"/>
      <c r="F63" s="4"/>
      <c r="G63" s="4"/>
      <c r="H63" s="4"/>
      <c r="I63" s="4"/>
      <c r="J63" s="4"/>
      <c r="K63" s="4"/>
    </row>
    <row r="64" customFormat="false" ht="15" hidden="false" customHeight="true" outlineLevel="0" collapsed="false">
      <c r="A64" s="4"/>
      <c r="B64" s="4"/>
      <c r="C64" s="4"/>
      <c r="D64" s="4"/>
      <c r="E64" s="4"/>
      <c r="F64" s="4"/>
      <c r="G64" s="4"/>
      <c r="H64" s="4"/>
      <c r="I64" s="4"/>
      <c r="J64" s="4"/>
      <c r="K64" s="4"/>
    </row>
    <row r="65" customFormat="false" ht="15" hidden="false" customHeight="true" outlineLevel="0" collapsed="false">
      <c r="A65" s="4"/>
      <c r="B65" s="4"/>
      <c r="C65" s="4"/>
      <c r="D65" s="4"/>
      <c r="E65" s="4"/>
      <c r="F65" s="4"/>
      <c r="G65" s="4"/>
      <c r="H65" s="4"/>
      <c r="I65" s="4"/>
      <c r="J65" s="4"/>
      <c r="K65" s="4"/>
    </row>
    <row r="66" customFormat="false" ht="15" hidden="false" customHeight="true" outlineLevel="0" collapsed="false">
      <c r="A66" s="4"/>
      <c r="B66" s="4"/>
      <c r="C66" s="4"/>
      <c r="D66" s="4"/>
      <c r="E66" s="4"/>
      <c r="F66" s="4"/>
      <c r="G66" s="4"/>
      <c r="H66" s="4"/>
      <c r="I66" s="4"/>
      <c r="J66" s="4"/>
      <c r="K66" s="4"/>
    </row>
    <row r="67" customFormat="false" ht="15" hidden="false" customHeight="true" outlineLevel="0" collapsed="false">
      <c r="A67" s="4"/>
      <c r="B67" s="4"/>
      <c r="C67" s="4"/>
      <c r="D67" s="4"/>
      <c r="E67" s="4"/>
      <c r="F67" s="4"/>
      <c r="G67" s="4"/>
      <c r="H67" s="4"/>
      <c r="I67" s="4"/>
      <c r="J67" s="4"/>
      <c r="K67" s="4"/>
    </row>
    <row r="68" customFormat="false" ht="15" hidden="false" customHeight="true" outlineLevel="0" collapsed="false">
      <c r="A68" s="4"/>
      <c r="B68" s="4"/>
      <c r="C68" s="4"/>
      <c r="D68" s="4"/>
      <c r="E68" s="4"/>
      <c r="F68" s="4"/>
      <c r="G68" s="4"/>
      <c r="H68" s="4"/>
      <c r="I68" s="4"/>
      <c r="J68" s="4"/>
      <c r="K68" s="4"/>
    </row>
    <row r="69" customFormat="false" ht="15" hidden="false" customHeight="true" outlineLevel="0" collapsed="false">
      <c r="A69" s="4"/>
      <c r="B69" s="4"/>
      <c r="C69" s="4"/>
      <c r="D69" s="4"/>
      <c r="E69" s="4"/>
      <c r="F69" s="4"/>
      <c r="G69" s="4"/>
      <c r="H69" s="4"/>
      <c r="I69" s="4"/>
      <c r="J69" s="4"/>
      <c r="K69" s="4"/>
    </row>
    <row r="70" customFormat="false" ht="15" hidden="false" customHeight="true" outlineLevel="0" collapsed="false">
      <c r="A70" s="4"/>
      <c r="B70" s="4"/>
      <c r="C70" s="4"/>
      <c r="D70" s="4"/>
      <c r="E70" s="4"/>
      <c r="F70" s="4"/>
      <c r="G70" s="4"/>
      <c r="H70" s="4"/>
      <c r="I70" s="4"/>
      <c r="J70" s="4"/>
      <c r="K70" s="4"/>
    </row>
    <row r="71" customFormat="false" ht="15" hidden="false" customHeight="true" outlineLevel="0" collapsed="false">
      <c r="A71" s="4"/>
      <c r="B71" s="4"/>
      <c r="C71" s="4"/>
      <c r="D71" s="4"/>
      <c r="E71" s="4"/>
      <c r="F71" s="4"/>
      <c r="G71" s="4"/>
      <c r="H71" s="4"/>
      <c r="I71" s="4"/>
      <c r="J71" s="4"/>
      <c r="K71" s="4"/>
    </row>
    <row r="72" customFormat="false" ht="15" hidden="false" customHeight="true" outlineLevel="0" collapsed="false">
      <c r="A72" s="4"/>
      <c r="B72" s="4"/>
      <c r="C72" s="4"/>
      <c r="D72" s="4"/>
      <c r="E72" s="4"/>
      <c r="F72" s="4"/>
      <c r="G72" s="4"/>
      <c r="H72" s="4"/>
      <c r="I72" s="4"/>
      <c r="J72" s="4"/>
      <c r="K72" s="4"/>
    </row>
    <row r="73" customFormat="false" ht="15" hidden="false" customHeight="true" outlineLevel="0" collapsed="false">
      <c r="A73" s="4"/>
      <c r="B73" s="4"/>
      <c r="C73" s="4"/>
      <c r="D73" s="4"/>
      <c r="E73" s="4"/>
      <c r="F73" s="4"/>
      <c r="G73" s="4"/>
      <c r="H73" s="4"/>
      <c r="I73" s="4"/>
      <c r="J73" s="4"/>
      <c r="K73" s="4"/>
    </row>
    <row r="74" customFormat="false" ht="15" hidden="false" customHeight="true" outlineLevel="0" collapsed="false">
      <c r="A74" s="4"/>
      <c r="B74" s="4"/>
      <c r="C74" s="4"/>
      <c r="D74" s="4"/>
      <c r="E74" s="4"/>
      <c r="F74" s="4"/>
      <c r="G74" s="4"/>
      <c r="H74" s="4"/>
      <c r="I74" s="4"/>
      <c r="J74" s="4"/>
      <c r="K74" s="4"/>
    </row>
    <row r="75" customFormat="false" ht="15" hidden="false" customHeight="true" outlineLevel="0" collapsed="false">
      <c r="A75" s="4"/>
      <c r="B75" s="4"/>
      <c r="C75" s="4"/>
      <c r="D75" s="4"/>
      <c r="E75" s="4"/>
      <c r="F75" s="4"/>
      <c r="G75" s="4"/>
      <c r="H75" s="4"/>
      <c r="I75" s="4"/>
      <c r="J75" s="4"/>
      <c r="K75" s="4"/>
    </row>
    <row r="76" customFormat="false" ht="15" hidden="false" customHeight="true" outlineLevel="0" collapsed="false">
      <c r="A76" s="4"/>
      <c r="B76" s="4"/>
      <c r="C76" s="4"/>
      <c r="D76" s="4"/>
      <c r="E76" s="4"/>
      <c r="F76" s="4"/>
      <c r="G76" s="4"/>
      <c r="H76" s="4"/>
      <c r="I76" s="4"/>
      <c r="J76" s="4"/>
      <c r="K76" s="4"/>
    </row>
    <row r="77" customFormat="false" ht="15" hidden="false" customHeight="true" outlineLevel="0" collapsed="false">
      <c r="A77" s="4"/>
      <c r="B77" s="4"/>
      <c r="C77" s="4"/>
      <c r="D77" s="4"/>
      <c r="E77" s="4"/>
      <c r="F77" s="4"/>
      <c r="G77" s="4"/>
      <c r="H77" s="4"/>
      <c r="I77" s="4"/>
      <c r="J77" s="4"/>
      <c r="K77" s="4"/>
    </row>
    <row r="78" customFormat="false" ht="15" hidden="false" customHeight="true" outlineLevel="0" collapsed="false">
      <c r="A78" s="4"/>
      <c r="B78" s="4"/>
      <c r="C78" s="4"/>
      <c r="D78" s="4"/>
      <c r="E78" s="4"/>
      <c r="F78" s="4"/>
      <c r="G78" s="4"/>
      <c r="H78" s="4"/>
      <c r="I78" s="4"/>
      <c r="J78" s="4"/>
      <c r="K78" s="4"/>
    </row>
    <row r="79" customFormat="false" ht="15" hidden="false" customHeight="true" outlineLevel="0" collapsed="false">
      <c r="A79" s="4"/>
      <c r="B79" s="4"/>
      <c r="C79" s="4"/>
      <c r="D79" s="4"/>
      <c r="E79" s="4"/>
      <c r="F79" s="4"/>
      <c r="G79" s="4"/>
      <c r="H79" s="4"/>
      <c r="I79" s="4"/>
      <c r="J79" s="4"/>
      <c r="K79" s="4"/>
    </row>
    <row r="80" customFormat="false" ht="15" hidden="false" customHeight="true" outlineLevel="0" collapsed="false">
      <c r="A80" s="4"/>
      <c r="B80" s="4"/>
      <c r="C80" s="4"/>
      <c r="D80" s="4"/>
      <c r="E80" s="4"/>
      <c r="F80" s="4"/>
      <c r="G80" s="4"/>
      <c r="H80" s="4"/>
      <c r="I80" s="4"/>
      <c r="J80" s="4"/>
      <c r="K80" s="4"/>
    </row>
    <row r="81" customFormat="false" ht="15" hidden="false" customHeight="true" outlineLevel="0" collapsed="false">
      <c r="A81" s="4"/>
      <c r="B81" s="4"/>
      <c r="C81" s="4"/>
      <c r="D81" s="4"/>
      <c r="E81" s="4"/>
      <c r="F81" s="4"/>
      <c r="G81" s="4"/>
      <c r="H81" s="4"/>
      <c r="I81" s="4"/>
      <c r="J81" s="4"/>
      <c r="K81" s="4"/>
    </row>
    <row r="82" customFormat="false" ht="15" hidden="false" customHeight="true" outlineLevel="0" collapsed="false">
      <c r="A82" s="4"/>
      <c r="B82" s="4"/>
      <c r="C82" s="4"/>
      <c r="D82" s="4"/>
      <c r="E82" s="4"/>
      <c r="F82" s="4"/>
      <c r="G82" s="4"/>
      <c r="H82" s="4"/>
      <c r="I82" s="4"/>
      <c r="J82" s="4"/>
      <c r="K82" s="4"/>
    </row>
    <row r="83" customFormat="false" ht="15" hidden="false" customHeight="true" outlineLevel="0" collapsed="false">
      <c r="A83" s="4"/>
      <c r="B83" s="4"/>
      <c r="C83" s="4"/>
      <c r="D83" s="4"/>
      <c r="E83" s="4"/>
      <c r="F83" s="4"/>
      <c r="G83" s="4"/>
      <c r="H83" s="4"/>
      <c r="I83" s="4"/>
      <c r="J83" s="4"/>
      <c r="K83" s="4"/>
    </row>
    <row r="84" customFormat="false" ht="15" hidden="false" customHeight="true" outlineLevel="0" collapsed="false">
      <c r="A84" s="4"/>
      <c r="B84" s="4"/>
      <c r="C84" s="4"/>
      <c r="D84" s="4"/>
      <c r="E84" s="4"/>
      <c r="F84" s="4"/>
      <c r="G84" s="4"/>
      <c r="H84" s="4"/>
      <c r="I84" s="4"/>
      <c r="J84" s="4"/>
      <c r="K84" s="4"/>
    </row>
    <row r="85" customFormat="false" ht="15" hidden="false" customHeight="true" outlineLevel="0" collapsed="false">
      <c r="A85" s="4"/>
      <c r="B85" s="4"/>
      <c r="C85" s="4"/>
      <c r="D85" s="4"/>
      <c r="E85" s="4"/>
      <c r="F85" s="4"/>
      <c r="G85" s="4"/>
      <c r="H85" s="4"/>
      <c r="I85" s="4"/>
      <c r="J85" s="4"/>
      <c r="K85" s="4"/>
    </row>
    <row r="86" customFormat="false" ht="15" hidden="false" customHeight="true" outlineLevel="0" collapsed="false">
      <c r="A86" s="4"/>
      <c r="B86" s="4"/>
      <c r="C86" s="4"/>
      <c r="D86" s="4"/>
      <c r="E86" s="4"/>
      <c r="F86" s="4"/>
      <c r="G86" s="4"/>
      <c r="H86" s="4"/>
      <c r="I86" s="4"/>
      <c r="J86" s="4"/>
      <c r="K86" s="4"/>
    </row>
    <row r="87" customFormat="false" ht="15" hidden="false" customHeight="true" outlineLevel="0" collapsed="false">
      <c r="A87" s="4"/>
      <c r="B87" s="4"/>
      <c r="C87" s="4"/>
      <c r="D87" s="4"/>
      <c r="E87" s="4"/>
      <c r="F87" s="4"/>
      <c r="G87" s="4"/>
      <c r="H87" s="4"/>
      <c r="I87" s="4"/>
      <c r="J87" s="4"/>
      <c r="K87" s="4"/>
    </row>
    <row r="88" customFormat="false" ht="15" hidden="false" customHeight="true" outlineLevel="0" collapsed="false">
      <c r="A88" s="4"/>
      <c r="B88" s="4"/>
      <c r="C88" s="4"/>
      <c r="D88" s="4"/>
      <c r="E88" s="4"/>
      <c r="F88" s="4"/>
      <c r="G88" s="4"/>
      <c r="H88" s="4"/>
      <c r="I88" s="4"/>
      <c r="J88" s="4"/>
      <c r="K88" s="4"/>
    </row>
    <row r="89" customFormat="false" ht="15" hidden="false" customHeight="true" outlineLevel="0" collapsed="false">
      <c r="A89" s="4"/>
      <c r="B89" s="4"/>
      <c r="C89" s="4"/>
      <c r="D89" s="4"/>
      <c r="E89" s="4"/>
      <c r="F89" s="4"/>
      <c r="G89" s="4"/>
      <c r="H89" s="4"/>
      <c r="I89" s="4"/>
      <c r="J89" s="4"/>
      <c r="K89" s="4"/>
    </row>
    <row r="90" customFormat="false" ht="15" hidden="false" customHeight="true" outlineLevel="0" collapsed="false">
      <c r="A90" s="4"/>
      <c r="B90" s="4"/>
      <c r="C90" s="4"/>
      <c r="D90" s="4"/>
      <c r="E90" s="4"/>
      <c r="F90" s="4"/>
      <c r="G90" s="4"/>
      <c r="H90" s="4"/>
      <c r="I90" s="4"/>
      <c r="J90" s="4"/>
      <c r="K90" s="4"/>
    </row>
    <row r="91" customFormat="false" ht="15" hidden="false" customHeight="true" outlineLevel="0" collapsed="false">
      <c r="A91" s="4"/>
      <c r="B91" s="4"/>
      <c r="C91" s="4"/>
      <c r="D91" s="4"/>
      <c r="E91" s="4"/>
      <c r="F91" s="4"/>
      <c r="G91" s="4"/>
      <c r="H91" s="4"/>
      <c r="I91" s="4"/>
      <c r="J91" s="4"/>
      <c r="K91" s="4"/>
    </row>
    <row r="92" customFormat="false" ht="15" hidden="false" customHeight="true" outlineLevel="0" collapsed="false">
      <c r="A92" s="4"/>
      <c r="B92" s="4"/>
      <c r="C92" s="4"/>
      <c r="D92" s="4"/>
      <c r="E92" s="4"/>
      <c r="F92" s="4"/>
      <c r="G92" s="4"/>
      <c r="H92" s="4"/>
      <c r="I92" s="4"/>
      <c r="J92" s="4"/>
      <c r="K92" s="4"/>
    </row>
    <row r="93" customFormat="false" ht="15" hidden="false" customHeight="true" outlineLevel="0" collapsed="false">
      <c r="A93" s="4"/>
      <c r="B93" s="4"/>
      <c r="C93" s="4"/>
      <c r="D93" s="4"/>
      <c r="E93" s="4"/>
      <c r="F93" s="4"/>
      <c r="G93" s="4"/>
      <c r="H93" s="4"/>
      <c r="I93" s="4"/>
      <c r="J93" s="4"/>
      <c r="K93" s="4"/>
    </row>
    <row r="94" customFormat="false" ht="15" hidden="false" customHeight="true" outlineLevel="0" collapsed="false">
      <c r="A94" s="4"/>
      <c r="B94" s="4"/>
      <c r="C94" s="4"/>
      <c r="D94" s="4"/>
      <c r="E94" s="4"/>
      <c r="F94" s="4"/>
      <c r="G94" s="4"/>
      <c r="H94" s="4"/>
      <c r="I94" s="4"/>
      <c r="J94" s="4"/>
      <c r="K94" s="4"/>
    </row>
    <row r="95" customFormat="false" ht="15" hidden="false" customHeight="true" outlineLevel="0" collapsed="false">
      <c r="A95" s="4"/>
      <c r="B95" s="4"/>
      <c r="C95" s="4"/>
      <c r="D95" s="4"/>
      <c r="E95" s="4"/>
      <c r="F95" s="4"/>
      <c r="G95" s="4"/>
      <c r="H95" s="4"/>
      <c r="I95" s="4"/>
      <c r="J95" s="4"/>
      <c r="K95" s="4"/>
    </row>
    <row r="96" customFormat="false" ht="15" hidden="false" customHeight="true" outlineLevel="0" collapsed="false">
      <c r="A96" s="4"/>
      <c r="B96" s="4"/>
      <c r="C96" s="4"/>
      <c r="D96" s="4"/>
      <c r="E96" s="4"/>
      <c r="F96" s="4"/>
      <c r="G96" s="4"/>
      <c r="H96" s="4"/>
      <c r="I96" s="4"/>
      <c r="J96" s="4"/>
      <c r="K96" s="4"/>
    </row>
    <row r="97" customFormat="false" ht="15" hidden="false" customHeight="true" outlineLevel="0" collapsed="false">
      <c r="A97" s="4"/>
      <c r="B97" s="4"/>
      <c r="C97" s="4"/>
      <c r="D97" s="4"/>
      <c r="E97" s="4"/>
      <c r="F97" s="4"/>
      <c r="G97" s="4"/>
      <c r="H97" s="4"/>
      <c r="I97" s="4"/>
      <c r="J97" s="4"/>
      <c r="K97" s="4"/>
    </row>
    <row r="98" customFormat="false" ht="15" hidden="false" customHeight="true" outlineLevel="0" collapsed="false">
      <c r="A98" s="4"/>
      <c r="B98" s="4"/>
      <c r="C98" s="4"/>
      <c r="D98" s="4"/>
      <c r="E98" s="4"/>
      <c r="F98" s="4"/>
      <c r="G98" s="4"/>
      <c r="H98" s="4"/>
      <c r="I98" s="4"/>
      <c r="J98" s="4"/>
      <c r="K98" s="4"/>
    </row>
    <row r="99" customFormat="false" ht="15" hidden="false" customHeight="true" outlineLevel="0" collapsed="false">
      <c r="A99" s="4"/>
      <c r="B99" s="4"/>
      <c r="C99" s="4"/>
      <c r="D99" s="4"/>
      <c r="E99" s="4"/>
      <c r="F99" s="4"/>
      <c r="G99" s="4"/>
      <c r="H99" s="4"/>
      <c r="I99" s="4"/>
      <c r="J99" s="4"/>
      <c r="K99" s="4"/>
    </row>
    <row r="100" customFormat="false" ht="15" hidden="false" customHeight="true" outlineLevel="0" collapsed="false">
      <c r="A100" s="4"/>
      <c r="B100" s="4"/>
      <c r="C100" s="4"/>
      <c r="D100" s="4"/>
      <c r="E100" s="4"/>
      <c r="F100" s="4"/>
      <c r="G100" s="4"/>
      <c r="H100" s="4"/>
      <c r="I100" s="4"/>
      <c r="J100" s="4"/>
      <c r="K100" s="4"/>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0"/>
    <col collapsed="false" customWidth="true" hidden="false" outlineLevel="0" max="6" min="2" style="17" width="16"/>
    <col collapsed="false" customWidth="true" hidden="false" outlineLevel="0" max="7" min="7" style="17" width="55"/>
  </cols>
  <sheetData>
    <row r="1" customFormat="false" ht="19.5" hidden="false" customHeight="true" outlineLevel="0" collapsed="false">
      <c r="A1" s="104" t="s">
        <v>1640</v>
      </c>
      <c r="B1" s="104"/>
      <c r="C1" s="104"/>
      <c r="D1" s="104"/>
      <c r="E1" s="104"/>
      <c r="F1" s="104"/>
      <c r="G1" s="104"/>
      <c r="H1" s="4"/>
      <c r="I1" s="4"/>
      <c r="J1" s="4"/>
      <c r="K1" s="4"/>
    </row>
    <row r="2" customFormat="false" ht="23.25" hidden="false" customHeight="true" outlineLevel="0" collapsed="false">
      <c r="A2" s="36" t="s">
        <v>1641</v>
      </c>
      <c r="B2" s="36"/>
      <c r="C2" s="36"/>
      <c r="D2" s="36"/>
      <c r="E2" s="36"/>
      <c r="F2" s="36"/>
      <c r="G2" s="36"/>
      <c r="H2" s="4"/>
      <c r="I2" s="4"/>
      <c r="J2" s="4"/>
      <c r="K2" s="4"/>
    </row>
    <row r="3" customFormat="false" ht="15" hidden="false" customHeight="true" outlineLevel="0" collapsed="false">
      <c r="A3" s="4"/>
      <c r="B3" s="4"/>
      <c r="C3" s="4"/>
      <c r="D3" s="4"/>
      <c r="E3" s="4"/>
      <c r="F3" s="4"/>
      <c r="G3" s="4"/>
      <c r="H3" s="4"/>
      <c r="I3" s="4"/>
      <c r="J3" s="4"/>
      <c r="K3" s="4"/>
    </row>
    <row r="4" customFormat="false" ht="23.25" hidden="false" customHeight="true" outlineLevel="0" collapsed="false">
      <c r="A4" s="37" t="s">
        <v>1642</v>
      </c>
      <c r="B4" s="37" t="s">
        <v>1643</v>
      </c>
      <c r="C4" s="37" t="s">
        <v>1644</v>
      </c>
      <c r="D4" s="37" t="s">
        <v>1645</v>
      </c>
      <c r="E4" s="37" t="s">
        <v>1646</v>
      </c>
      <c r="F4" s="37" t="s">
        <v>212</v>
      </c>
      <c r="G4" s="37" t="s">
        <v>1647</v>
      </c>
      <c r="H4" s="4"/>
      <c r="I4" s="4"/>
      <c r="J4" s="4"/>
      <c r="K4" s="4"/>
    </row>
    <row r="5" customFormat="false" ht="23.25" hidden="false" customHeight="true" outlineLevel="0" collapsed="false">
      <c r="A5" s="4" t="s">
        <v>1648</v>
      </c>
      <c r="B5" s="176" t="n">
        <v>115.22</v>
      </c>
      <c r="C5" s="43" t="n">
        <v>1</v>
      </c>
      <c r="D5" s="177" t="n">
        <f aca="false">B5*C5</f>
        <v>115.22</v>
      </c>
      <c r="E5" s="178" t="n">
        <v>0.05</v>
      </c>
      <c r="F5" s="177" t="n">
        <f aca="false">D5*E5</f>
        <v>5.761</v>
      </c>
      <c r="G5" s="4" t="s">
        <v>1222</v>
      </c>
      <c r="H5" s="4"/>
      <c r="I5" s="4"/>
      <c r="J5" s="4"/>
      <c r="K5" s="4"/>
    </row>
    <row r="6" customFormat="false" ht="23.25" hidden="false" customHeight="true" outlineLevel="0" collapsed="false">
      <c r="A6" s="4" t="s">
        <v>1649</v>
      </c>
      <c r="B6" s="176" t="n">
        <v>110</v>
      </c>
      <c r="C6" s="43" t="n">
        <v>1</v>
      </c>
      <c r="D6" s="177" t="n">
        <f aca="false">B6*C6</f>
        <v>110</v>
      </c>
      <c r="E6" s="178" t="n">
        <v>0.05</v>
      </c>
      <c r="F6" s="177" t="n">
        <f aca="false">D6*E6</f>
        <v>5.5</v>
      </c>
      <c r="G6" s="4" t="s">
        <v>1226</v>
      </c>
      <c r="H6" s="4"/>
      <c r="I6" s="4"/>
      <c r="J6" s="4"/>
      <c r="K6" s="4"/>
    </row>
    <row r="7" customFormat="false" ht="23.25" hidden="false" customHeight="true" outlineLevel="0" collapsed="false">
      <c r="A7" s="4" t="s">
        <v>1650</v>
      </c>
      <c r="B7" s="176" t="n">
        <v>3.4</v>
      </c>
      <c r="C7" s="43" t="n">
        <v>1</v>
      </c>
      <c r="D7" s="177" t="n">
        <f aca="false">B7*C7</f>
        <v>3.4</v>
      </c>
      <c r="E7" s="178" t="n">
        <v>0.05</v>
      </c>
      <c r="F7" s="177" t="n">
        <f aca="false">D7*E7</f>
        <v>0.17</v>
      </c>
      <c r="G7" s="4" t="s">
        <v>1230</v>
      </c>
      <c r="H7" s="4"/>
      <c r="I7" s="4"/>
      <c r="J7" s="4"/>
      <c r="K7" s="4"/>
    </row>
    <row r="8" customFormat="false" ht="23.25" hidden="false" customHeight="true" outlineLevel="0" collapsed="false">
      <c r="A8" s="4" t="s">
        <v>1651</v>
      </c>
      <c r="B8" s="176" t="n">
        <v>12.6546</v>
      </c>
      <c r="C8" s="43" t="n">
        <v>1</v>
      </c>
      <c r="D8" s="177" t="n">
        <f aca="false">B8*C8</f>
        <v>12.6546</v>
      </c>
      <c r="E8" s="178" t="n">
        <v>0.05</v>
      </c>
      <c r="F8" s="177" t="n">
        <f aca="false">D8*E8</f>
        <v>0.63273</v>
      </c>
      <c r="G8" s="4" t="s">
        <v>1234</v>
      </c>
      <c r="H8" s="4"/>
      <c r="I8" s="4"/>
      <c r="J8" s="4"/>
      <c r="K8" s="4"/>
    </row>
    <row r="9" customFormat="false" ht="15" hidden="false" customHeight="true" outlineLevel="0" collapsed="false">
      <c r="A9" s="4"/>
      <c r="B9" s="50"/>
      <c r="C9" s="4"/>
      <c r="D9" s="177"/>
      <c r="E9" s="179"/>
      <c r="F9" s="177"/>
      <c r="G9" s="4"/>
      <c r="H9" s="4"/>
      <c r="I9" s="4"/>
      <c r="J9" s="4"/>
      <c r="K9" s="4"/>
    </row>
    <row r="10" customFormat="false" ht="15" hidden="false" customHeight="true" outlineLevel="0" collapsed="false">
      <c r="A10" s="45" t="s">
        <v>1606</v>
      </c>
      <c r="B10" s="180" t="n">
        <f aca="false">SUM(B5:B8)</f>
        <v>241.2746</v>
      </c>
      <c r="C10" s="45"/>
      <c r="D10" s="181" t="n">
        <f aca="false">SUM(D5:D8)</f>
        <v>241.2746</v>
      </c>
      <c r="E10" s="129"/>
      <c r="F10" s="181" t="n">
        <f aca="false">SUM(F5:F8)</f>
        <v>12.06373</v>
      </c>
      <c r="G10" s="4"/>
      <c r="H10" s="4"/>
      <c r="I10" s="4"/>
      <c r="J10" s="4"/>
      <c r="K10" s="4"/>
    </row>
    <row r="11" customFormat="false" ht="15" hidden="false" customHeight="true" outlineLevel="0" collapsed="false">
      <c r="A11" s="4"/>
      <c r="B11" s="4"/>
      <c r="C11" s="4"/>
      <c r="D11" s="4"/>
      <c r="E11" s="4"/>
      <c r="F11" s="4"/>
      <c r="G11" s="4"/>
      <c r="H11" s="4"/>
      <c r="I11" s="4"/>
      <c r="J11" s="4"/>
      <c r="K11" s="4"/>
    </row>
    <row r="12" customFormat="false" ht="15" hidden="false" customHeight="true" outlineLevel="0" collapsed="false">
      <c r="A12" s="37" t="s">
        <v>1652</v>
      </c>
      <c r="B12" s="37" t="s">
        <v>827</v>
      </c>
      <c r="C12" s="4"/>
      <c r="D12" s="4"/>
      <c r="E12" s="4"/>
      <c r="F12" s="4"/>
      <c r="G12" s="4"/>
      <c r="H12" s="4"/>
      <c r="I12" s="4"/>
      <c r="J12" s="4"/>
      <c r="K12" s="4"/>
    </row>
    <row r="13" customFormat="false" ht="15" hidden="false" customHeight="true" outlineLevel="0" collapsed="false">
      <c r="A13" s="4" t="s">
        <v>211</v>
      </c>
      <c r="B13" s="4" t="s">
        <v>1653</v>
      </c>
      <c r="C13" s="4"/>
      <c r="D13" s="4"/>
      <c r="E13" s="4"/>
      <c r="F13" s="4"/>
      <c r="G13" s="4"/>
      <c r="H13" s="4"/>
      <c r="I13" s="4"/>
      <c r="J13" s="4"/>
      <c r="K13" s="4"/>
    </row>
    <row r="14" customFormat="false" ht="45.75" hidden="false" customHeight="true" outlineLevel="0" collapsed="false">
      <c r="A14" s="4" t="s">
        <v>1654</v>
      </c>
      <c r="B14" s="4" t="s">
        <v>1655</v>
      </c>
      <c r="C14" s="4"/>
      <c r="D14" s="4"/>
      <c r="E14" s="4"/>
      <c r="F14" s="4"/>
      <c r="G14" s="4"/>
      <c r="H14" s="4"/>
      <c r="I14" s="4"/>
      <c r="J14" s="4"/>
      <c r="K14" s="4"/>
    </row>
    <row r="15" customFormat="false" ht="34.5" hidden="false" customHeight="true" outlineLevel="0" collapsed="false">
      <c r="A15" s="4" t="s">
        <v>1656</v>
      </c>
      <c r="B15" s="4" t="s">
        <v>1657</v>
      </c>
      <c r="C15" s="4"/>
      <c r="D15" s="4"/>
      <c r="E15" s="4"/>
      <c r="F15" s="4"/>
      <c r="G15" s="4"/>
      <c r="H15" s="4"/>
      <c r="I15" s="4"/>
      <c r="J15" s="4"/>
      <c r="K15" s="4"/>
    </row>
    <row r="16" customFormat="false" ht="34.5" hidden="false" customHeight="true" outlineLevel="0" collapsed="false">
      <c r="A16" s="4" t="s">
        <v>1658</v>
      </c>
      <c r="B16" s="4" t="s">
        <v>1659</v>
      </c>
      <c r="C16" s="4"/>
      <c r="D16" s="4"/>
      <c r="E16" s="4"/>
      <c r="F16" s="4"/>
      <c r="G16" s="4"/>
      <c r="H16" s="4"/>
      <c r="I16" s="4"/>
      <c r="J16" s="4"/>
      <c r="K16" s="4"/>
    </row>
    <row r="17" customFormat="false" ht="57" hidden="false" customHeight="true" outlineLevel="0" collapsed="false">
      <c r="A17" s="4" t="s">
        <v>1660</v>
      </c>
      <c r="B17" s="4" t="s">
        <v>1661</v>
      </c>
      <c r="C17" s="4"/>
      <c r="D17" s="4"/>
      <c r="E17" s="4"/>
      <c r="F17" s="4"/>
      <c r="G17" s="4"/>
      <c r="H17" s="4"/>
      <c r="I17" s="4"/>
      <c r="J17" s="4"/>
      <c r="K17" s="4"/>
    </row>
    <row r="18" customFormat="false" ht="34.5" hidden="false" customHeight="true" outlineLevel="0" collapsed="false">
      <c r="A18" s="4" t="s">
        <v>1662</v>
      </c>
      <c r="B18" s="4" t="s">
        <v>1663</v>
      </c>
      <c r="C18" s="4"/>
      <c r="D18" s="4"/>
      <c r="E18" s="4"/>
      <c r="F18" s="4"/>
      <c r="G18" s="4"/>
      <c r="H18" s="4"/>
      <c r="I18" s="4"/>
      <c r="J18" s="4"/>
      <c r="K18" s="4"/>
    </row>
    <row r="19" customFormat="false" ht="68.25" hidden="false" customHeight="true" outlineLevel="0" collapsed="false">
      <c r="A19" s="4" t="s">
        <v>1664</v>
      </c>
      <c r="B19" s="4" t="s">
        <v>1665</v>
      </c>
      <c r="C19" s="4"/>
      <c r="D19" s="4"/>
      <c r="E19" s="4"/>
      <c r="F19" s="4"/>
      <c r="G19" s="4"/>
      <c r="H19" s="4"/>
      <c r="I19" s="4"/>
      <c r="J19" s="4"/>
      <c r="K19" s="4"/>
    </row>
    <row r="20" customFormat="false" ht="15" hidden="false" customHeight="true" outlineLevel="0" collapsed="false">
      <c r="A20" s="4"/>
      <c r="B20" s="4"/>
      <c r="C20" s="4"/>
      <c r="D20" s="4"/>
      <c r="E20" s="4"/>
      <c r="F20" s="4"/>
      <c r="G20" s="4"/>
      <c r="H20" s="4"/>
      <c r="I20" s="4"/>
      <c r="J20" s="4"/>
      <c r="K20" s="4"/>
    </row>
    <row r="21" customFormat="false" ht="15" hidden="false" customHeight="true" outlineLevel="0" collapsed="false">
      <c r="A21" s="4"/>
      <c r="B21" s="4"/>
      <c r="C21" s="4"/>
      <c r="D21" s="4"/>
      <c r="E21" s="4"/>
      <c r="F21" s="4"/>
      <c r="G21" s="4"/>
      <c r="H21" s="4"/>
      <c r="I21" s="4"/>
      <c r="J21" s="4"/>
      <c r="K21" s="4"/>
    </row>
    <row r="22" customFormat="false" ht="15" hidden="false" customHeight="true" outlineLevel="0" collapsed="false">
      <c r="A22" s="4"/>
      <c r="B22" s="4"/>
      <c r="C22" s="4"/>
      <c r="D22" s="4"/>
      <c r="E22" s="4"/>
      <c r="F22" s="4"/>
      <c r="G22" s="4"/>
      <c r="H22" s="4"/>
      <c r="I22" s="4"/>
      <c r="J22" s="4"/>
      <c r="K22" s="4"/>
    </row>
    <row r="23" customFormat="false" ht="15" hidden="false" customHeight="true" outlineLevel="0" collapsed="false">
      <c r="A23" s="4"/>
      <c r="B23" s="4"/>
      <c r="C23" s="4"/>
      <c r="D23" s="4"/>
      <c r="E23" s="4"/>
      <c r="F23" s="4"/>
      <c r="G23" s="4"/>
      <c r="H23" s="4"/>
      <c r="I23" s="4"/>
      <c r="J23" s="4"/>
      <c r="K23" s="4"/>
    </row>
    <row r="24" customFormat="false" ht="15" hidden="false" customHeight="true" outlineLevel="0" collapsed="false">
      <c r="A24" s="4"/>
      <c r="B24" s="4"/>
      <c r="C24" s="4"/>
      <c r="D24" s="4"/>
      <c r="E24" s="4"/>
      <c r="F24" s="4"/>
      <c r="G24" s="4"/>
      <c r="H24" s="4"/>
      <c r="I24" s="4"/>
      <c r="J24" s="4"/>
      <c r="K24" s="4"/>
    </row>
    <row r="25" customFormat="false" ht="15" hidden="false" customHeight="true" outlineLevel="0" collapsed="false">
      <c r="A25" s="4"/>
      <c r="B25" s="4"/>
      <c r="C25" s="4"/>
      <c r="D25" s="4"/>
      <c r="E25" s="4"/>
      <c r="F25" s="4"/>
      <c r="G25" s="4"/>
      <c r="H25" s="4"/>
      <c r="I25" s="4"/>
      <c r="J25" s="4"/>
      <c r="K25" s="4"/>
    </row>
    <row r="26" customFormat="false" ht="15" hidden="false" customHeight="true" outlineLevel="0" collapsed="false">
      <c r="A26" s="4"/>
      <c r="B26" s="4"/>
      <c r="C26" s="4"/>
      <c r="D26" s="4"/>
      <c r="E26" s="4"/>
      <c r="F26" s="4"/>
      <c r="G26" s="4"/>
      <c r="H26" s="4"/>
      <c r="I26" s="4"/>
      <c r="J26" s="4"/>
      <c r="K26" s="4"/>
    </row>
    <row r="27" customFormat="false" ht="15" hidden="false" customHeight="true" outlineLevel="0" collapsed="false">
      <c r="A27" s="4"/>
      <c r="B27" s="4"/>
      <c r="C27" s="4"/>
      <c r="D27" s="4"/>
      <c r="E27" s="4"/>
      <c r="F27" s="4"/>
      <c r="G27" s="4"/>
      <c r="H27" s="4"/>
      <c r="I27" s="4"/>
      <c r="J27" s="4"/>
      <c r="K27" s="4"/>
    </row>
    <row r="28" customFormat="false" ht="15" hidden="false" customHeight="true" outlineLevel="0" collapsed="false">
      <c r="A28" s="4"/>
      <c r="B28" s="4"/>
      <c r="C28" s="4"/>
      <c r="D28" s="4"/>
      <c r="E28" s="4"/>
      <c r="F28" s="4"/>
      <c r="G28" s="4"/>
      <c r="H28" s="4"/>
      <c r="I28" s="4"/>
      <c r="J28" s="4"/>
      <c r="K28" s="4"/>
    </row>
    <row r="29" customFormat="false" ht="15" hidden="false" customHeight="true" outlineLevel="0" collapsed="false">
      <c r="A29" s="4"/>
      <c r="B29" s="4"/>
      <c r="C29" s="4"/>
      <c r="D29" s="4"/>
      <c r="E29" s="4"/>
      <c r="F29" s="4"/>
      <c r="G29" s="4"/>
      <c r="H29" s="4"/>
      <c r="I29" s="4"/>
      <c r="J29" s="4"/>
      <c r="K29" s="4"/>
    </row>
    <row r="30" customFormat="false" ht="15" hidden="false" customHeight="true" outlineLevel="0" collapsed="false">
      <c r="A30" s="4"/>
      <c r="B30" s="4"/>
      <c r="C30" s="4"/>
      <c r="D30" s="4"/>
      <c r="E30" s="4"/>
      <c r="F30" s="4"/>
      <c r="G30" s="4"/>
      <c r="H30" s="4"/>
      <c r="I30" s="4"/>
      <c r="J30" s="4"/>
      <c r="K30" s="4"/>
    </row>
    <row r="31" customFormat="false" ht="15" hidden="false" customHeight="true" outlineLevel="0" collapsed="false">
      <c r="A31" s="4"/>
      <c r="B31" s="4"/>
      <c r="C31" s="4"/>
      <c r="D31" s="4"/>
      <c r="E31" s="4"/>
      <c r="F31" s="4"/>
      <c r="G31" s="4"/>
      <c r="H31" s="4"/>
      <c r="I31" s="4"/>
      <c r="J31" s="4"/>
      <c r="K31" s="4"/>
    </row>
    <row r="32" customFormat="false" ht="15" hidden="false" customHeight="true" outlineLevel="0" collapsed="false">
      <c r="A32" s="4"/>
      <c r="B32" s="4"/>
      <c r="C32" s="4"/>
      <c r="D32" s="4"/>
      <c r="E32" s="4"/>
      <c r="F32" s="4"/>
      <c r="G32" s="4"/>
      <c r="H32" s="4"/>
      <c r="I32" s="4"/>
      <c r="J32" s="4"/>
      <c r="K32" s="4"/>
    </row>
    <row r="33" customFormat="false" ht="15" hidden="false" customHeight="true" outlineLevel="0" collapsed="false">
      <c r="A33" s="4"/>
      <c r="B33" s="4"/>
      <c r="C33" s="4"/>
      <c r="D33" s="4"/>
      <c r="E33" s="4"/>
      <c r="F33" s="4"/>
      <c r="G33" s="4"/>
      <c r="H33" s="4"/>
      <c r="I33" s="4"/>
      <c r="J33" s="4"/>
      <c r="K33" s="4"/>
    </row>
    <row r="34" customFormat="false" ht="15" hidden="false" customHeight="true" outlineLevel="0" collapsed="false">
      <c r="A34" s="4"/>
      <c r="B34" s="4"/>
      <c r="C34" s="4"/>
      <c r="D34" s="4"/>
      <c r="E34" s="4"/>
      <c r="F34" s="4"/>
      <c r="G34" s="4"/>
      <c r="H34" s="4"/>
      <c r="I34" s="4"/>
      <c r="J34" s="4"/>
      <c r="K34" s="4"/>
    </row>
    <row r="35" customFormat="false" ht="15" hidden="false" customHeight="true" outlineLevel="0" collapsed="false">
      <c r="A35" s="4"/>
      <c r="B35" s="4"/>
      <c r="C35" s="4"/>
      <c r="D35" s="4"/>
      <c r="E35" s="4"/>
      <c r="F35" s="4"/>
      <c r="G35" s="4"/>
      <c r="H35" s="4"/>
      <c r="I35" s="4"/>
      <c r="J35" s="4"/>
      <c r="K35" s="4"/>
    </row>
    <row r="36" customFormat="false" ht="15" hidden="false" customHeight="true" outlineLevel="0" collapsed="false">
      <c r="A36" s="4"/>
      <c r="B36" s="4"/>
      <c r="C36" s="4"/>
      <c r="D36" s="4"/>
      <c r="E36" s="4"/>
      <c r="F36" s="4"/>
      <c r="G36" s="4"/>
      <c r="H36" s="4"/>
      <c r="I36" s="4"/>
      <c r="J36" s="4"/>
      <c r="K36" s="4"/>
    </row>
    <row r="37" customFormat="false" ht="15" hidden="false" customHeight="true" outlineLevel="0" collapsed="false">
      <c r="A37" s="4"/>
      <c r="B37" s="4"/>
      <c r="C37" s="4"/>
      <c r="D37" s="4"/>
      <c r="E37" s="4"/>
      <c r="F37" s="4"/>
      <c r="G37" s="4"/>
      <c r="H37" s="4"/>
      <c r="I37" s="4"/>
      <c r="J37" s="4"/>
      <c r="K37" s="4"/>
    </row>
    <row r="38" customFormat="false" ht="15" hidden="false" customHeight="true" outlineLevel="0" collapsed="false">
      <c r="A38" s="4"/>
      <c r="B38" s="4"/>
      <c r="C38" s="4"/>
      <c r="D38" s="4"/>
      <c r="E38" s="4"/>
      <c r="F38" s="4"/>
      <c r="G38" s="4"/>
      <c r="H38" s="4"/>
      <c r="I38" s="4"/>
      <c r="J38" s="4"/>
      <c r="K38" s="4"/>
    </row>
    <row r="39" customFormat="false" ht="15" hidden="false" customHeight="true" outlineLevel="0" collapsed="false">
      <c r="A39" s="4"/>
      <c r="B39" s="4"/>
      <c r="C39" s="4"/>
      <c r="D39" s="4"/>
      <c r="E39" s="4"/>
      <c r="F39" s="4"/>
      <c r="G39" s="4"/>
      <c r="H39" s="4"/>
      <c r="I39" s="4"/>
      <c r="J39" s="4"/>
      <c r="K39" s="4"/>
    </row>
    <row r="40" customFormat="false" ht="15" hidden="false" customHeight="true" outlineLevel="0" collapsed="false">
      <c r="A40" s="4"/>
      <c r="B40" s="4"/>
      <c r="C40" s="4"/>
      <c r="D40" s="4"/>
      <c r="E40" s="4"/>
      <c r="F40" s="4"/>
      <c r="G40" s="4"/>
      <c r="H40" s="4"/>
      <c r="I40" s="4"/>
      <c r="J40" s="4"/>
      <c r="K40" s="4"/>
    </row>
    <row r="41" customFormat="false" ht="15" hidden="false" customHeight="true" outlineLevel="0" collapsed="false">
      <c r="A41" s="4"/>
      <c r="B41" s="4"/>
      <c r="C41" s="4"/>
      <c r="D41" s="4"/>
      <c r="E41" s="4"/>
      <c r="F41" s="4"/>
      <c r="G41" s="4"/>
      <c r="H41" s="4"/>
      <c r="I41" s="4"/>
      <c r="J41" s="4"/>
      <c r="K41" s="4"/>
    </row>
    <row r="42" customFormat="false" ht="15" hidden="false" customHeight="true" outlineLevel="0" collapsed="false">
      <c r="A42" s="4"/>
      <c r="B42" s="4"/>
      <c r="C42" s="4"/>
      <c r="D42" s="4"/>
      <c r="E42" s="4"/>
      <c r="F42" s="4"/>
      <c r="G42" s="4"/>
      <c r="H42" s="4"/>
      <c r="I42" s="4"/>
      <c r="J42" s="4"/>
      <c r="K42" s="4"/>
    </row>
    <row r="43" customFormat="false" ht="15" hidden="false" customHeight="true" outlineLevel="0" collapsed="false">
      <c r="A43" s="4"/>
      <c r="B43" s="4"/>
      <c r="C43" s="4"/>
      <c r="D43" s="4"/>
      <c r="E43" s="4"/>
      <c r="F43" s="4"/>
      <c r="G43" s="4"/>
      <c r="H43" s="4"/>
      <c r="I43" s="4"/>
      <c r="J43" s="4"/>
      <c r="K43" s="4"/>
    </row>
    <row r="44" customFormat="false" ht="15" hidden="false" customHeight="true" outlineLevel="0" collapsed="false">
      <c r="A44" s="4"/>
      <c r="B44" s="4"/>
      <c r="C44" s="4"/>
      <c r="D44" s="4"/>
      <c r="E44" s="4"/>
      <c r="F44" s="4"/>
      <c r="G44" s="4"/>
      <c r="H44" s="4"/>
      <c r="I44" s="4"/>
      <c r="J44" s="4"/>
      <c r="K44" s="4"/>
    </row>
    <row r="45" customFormat="false" ht="15" hidden="false" customHeight="true" outlineLevel="0" collapsed="false">
      <c r="A45" s="4"/>
      <c r="B45" s="4"/>
      <c r="C45" s="4"/>
      <c r="D45" s="4"/>
      <c r="E45" s="4"/>
      <c r="F45" s="4"/>
      <c r="G45" s="4"/>
      <c r="H45" s="4"/>
      <c r="I45" s="4"/>
      <c r="J45" s="4"/>
      <c r="K45" s="4"/>
    </row>
    <row r="46" customFormat="false" ht="15" hidden="false" customHeight="true" outlineLevel="0" collapsed="false">
      <c r="A46" s="4"/>
      <c r="B46" s="4"/>
      <c r="C46" s="4"/>
      <c r="D46" s="4"/>
      <c r="E46" s="4"/>
      <c r="F46" s="4"/>
      <c r="G46" s="4"/>
      <c r="H46" s="4"/>
      <c r="I46" s="4"/>
      <c r="J46" s="4"/>
      <c r="K46" s="4"/>
    </row>
    <row r="47" customFormat="false" ht="15" hidden="false" customHeight="true" outlineLevel="0" collapsed="false">
      <c r="A47" s="4"/>
      <c r="B47" s="4"/>
      <c r="C47" s="4"/>
      <c r="D47" s="4"/>
      <c r="E47" s="4"/>
      <c r="F47" s="4"/>
      <c r="G47" s="4"/>
      <c r="H47" s="4"/>
      <c r="I47" s="4"/>
      <c r="J47" s="4"/>
      <c r="K47" s="4"/>
    </row>
    <row r="48" customFormat="false" ht="15" hidden="false" customHeight="true" outlineLevel="0" collapsed="false">
      <c r="A48" s="4"/>
      <c r="B48" s="4"/>
      <c r="C48" s="4"/>
      <c r="D48" s="4"/>
      <c r="E48" s="4"/>
      <c r="F48" s="4"/>
      <c r="G48" s="4"/>
      <c r="H48" s="4"/>
      <c r="I48" s="4"/>
      <c r="J48" s="4"/>
      <c r="K48" s="4"/>
    </row>
    <row r="49" customFormat="false" ht="15" hidden="false" customHeight="true" outlineLevel="0" collapsed="false">
      <c r="A49" s="4"/>
      <c r="B49" s="4"/>
      <c r="C49" s="4"/>
      <c r="D49" s="4"/>
      <c r="E49" s="4"/>
      <c r="F49" s="4"/>
      <c r="G49" s="4"/>
      <c r="H49" s="4"/>
      <c r="I49" s="4"/>
      <c r="J49" s="4"/>
      <c r="K49" s="4"/>
    </row>
    <row r="50" customFormat="false" ht="15" hidden="false" customHeight="true" outlineLevel="0" collapsed="false">
      <c r="A50" s="4"/>
      <c r="B50" s="4"/>
      <c r="C50" s="4"/>
      <c r="D50" s="4"/>
      <c r="E50" s="4"/>
      <c r="F50" s="4"/>
      <c r="G50" s="4"/>
      <c r="H50" s="4"/>
      <c r="I50" s="4"/>
      <c r="J50" s="4"/>
      <c r="K50" s="4"/>
    </row>
    <row r="51" customFormat="false" ht="15" hidden="false" customHeight="true" outlineLevel="0" collapsed="false">
      <c r="A51" s="4"/>
      <c r="B51" s="4"/>
      <c r="C51" s="4"/>
      <c r="D51" s="4"/>
      <c r="E51" s="4"/>
      <c r="F51" s="4"/>
      <c r="G51" s="4"/>
      <c r="H51" s="4"/>
      <c r="I51" s="4"/>
      <c r="J51" s="4"/>
      <c r="K51" s="4"/>
    </row>
    <row r="52" customFormat="false" ht="15" hidden="false" customHeight="true" outlineLevel="0" collapsed="false">
      <c r="A52" s="4"/>
      <c r="B52" s="4"/>
      <c r="C52" s="4"/>
      <c r="D52" s="4"/>
      <c r="E52" s="4"/>
      <c r="F52" s="4"/>
      <c r="G52" s="4"/>
      <c r="H52" s="4"/>
      <c r="I52" s="4"/>
      <c r="J52" s="4"/>
      <c r="K52" s="4"/>
    </row>
    <row r="53" customFormat="false" ht="15" hidden="false" customHeight="true" outlineLevel="0" collapsed="false">
      <c r="A53" s="4"/>
      <c r="B53" s="4"/>
      <c r="C53" s="4"/>
      <c r="D53" s="4"/>
      <c r="E53" s="4"/>
      <c r="F53" s="4"/>
      <c r="G53" s="4"/>
      <c r="H53" s="4"/>
      <c r="I53" s="4"/>
      <c r="J53" s="4"/>
      <c r="K53" s="4"/>
    </row>
    <row r="54" customFormat="false" ht="15" hidden="false" customHeight="true" outlineLevel="0" collapsed="false">
      <c r="A54" s="4"/>
      <c r="B54" s="4"/>
      <c r="C54" s="4"/>
      <c r="D54" s="4"/>
      <c r="E54" s="4"/>
      <c r="F54" s="4"/>
      <c r="G54" s="4"/>
      <c r="H54" s="4"/>
      <c r="I54" s="4"/>
      <c r="J54" s="4"/>
      <c r="K54" s="4"/>
    </row>
    <row r="55" customFormat="false" ht="15" hidden="false" customHeight="true" outlineLevel="0" collapsed="false">
      <c r="A55" s="4"/>
      <c r="B55" s="4"/>
      <c r="C55" s="4"/>
      <c r="D55" s="4"/>
      <c r="E55" s="4"/>
      <c r="F55" s="4"/>
      <c r="G55" s="4"/>
      <c r="H55" s="4"/>
      <c r="I55" s="4"/>
      <c r="J55" s="4"/>
      <c r="K55" s="4"/>
    </row>
    <row r="56" customFormat="false" ht="15" hidden="false" customHeight="true" outlineLevel="0" collapsed="false">
      <c r="A56" s="4"/>
      <c r="B56" s="4"/>
      <c r="C56" s="4"/>
      <c r="D56" s="4"/>
      <c r="E56" s="4"/>
      <c r="F56" s="4"/>
      <c r="G56" s="4"/>
      <c r="H56" s="4"/>
      <c r="I56" s="4"/>
      <c r="J56" s="4"/>
      <c r="K56" s="4"/>
    </row>
    <row r="57" customFormat="false" ht="15" hidden="false" customHeight="true" outlineLevel="0" collapsed="false">
      <c r="A57" s="4"/>
      <c r="B57" s="4"/>
      <c r="C57" s="4"/>
      <c r="D57" s="4"/>
      <c r="E57" s="4"/>
      <c r="F57" s="4"/>
      <c r="G57" s="4"/>
      <c r="H57" s="4"/>
      <c r="I57" s="4"/>
      <c r="J57" s="4"/>
      <c r="K57" s="4"/>
    </row>
    <row r="58" customFormat="false" ht="15" hidden="false" customHeight="true" outlineLevel="0" collapsed="false">
      <c r="A58" s="4"/>
      <c r="B58" s="4"/>
      <c r="C58" s="4"/>
      <c r="D58" s="4"/>
      <c r="E58" s="4"/>
      <c r="F58" s="4"/>
      <c r="G58" s="4"/>
      <c r="H58" s="4"/>
      <c r="I58" s="4"/>
      <c r="J58" s="4"/>
      <c r="K58" s="4"/>
    </row>
    <row r="59" customFormat="false" ht="15" hidden="false" customHeight="true" outlineLevel="0" collapsed="false">
      <c r="A59" s="4"/>
      <c r="B59" s="4"/>
      <c r="C59" s="4"/>
      <c r="D59" s="4"/>
      <c r="E59" s="4"/>
      <c r="F59" s="4"/>
      <c r="G59" s="4"/>
      <c r="H59" s="4"/>
      <c r="I59" s="4"/>
      <c r="J59" s="4"/>
      <c r="K59" s="4"/>
    </row>
    <row r="60" customFormat="false" ht="15" hidden="false" customHeight="true" outlineLevel="0" collapsed="false">
      <c r="A60" s="4"/>
      <c r="B60" s="4"/>
      <c r="C60" s="4"/>
      <c r="D60" s="4"/>
      <c r="E60" s="4"/>
      <c r="F60" s="4"/>
      <c r="G60" s="4"/>
      <c r="H60" s="4"/>
      <c r="I60" s="4"/>
      <c r="J60" s="4"/>
      <c r="K60" s="4"/>
    </row>
    <row r="61" customFormat="false" ht="15" hidden="false" customHeight="true" outlineLevel="0" collapsed="false">
      <c r="A61" s="4"/>
      <c r="B61" s="4"/>
      <c r="C61" s="4"/>
      <c r="D61" s="4"/>
      <c r="E61" s="4"/>
      <c r="F61" s="4"/>
      <c r="G61" s="4"/>
      <c r="H61" s="4"/>
      <c r="I61" s="4"/>
      <c r="J61" s="4"/>
      <c r="K61" s="4"/>
    </row>
    <row r="62" customFormat="false" ht="15" hidden="false" customHeight="true" outlineLevel="0" collapsed="false">
      <c r="A62" s="4"/>
      <c r="B62" s="4"/>
      <c r="C62" s="4"/>
      <c r="D62" s="4"/>
      <c r="E62" s="4"/>
      <c r="F62" s="4"/>
      <c r="G62" s="4"/>
      <c r="H62" s="4"/>
      <c r="I62" s="4"/>
      <c r="J62" s="4"/>
      <c r="K62" s="4"/>
    </row>
    <row r="63" customFormat="false" ht="15" hidden="false" customHeight="true" outlineLevel="0" collapsed="false">
      <c r="A63" s="4"/>
      <c r="B63" s="4"/>
      <c r="C63" s="4"/>
      <c r="D63" s="4"/>
      <c r="E63" s="4"/>
      <c r="F63" s="4"/>
      <c r="G63" s="4"/>
      <c r="H63" s="4"/>
      <c r="I63" s="4"/>
      <c r="J63" s="4"/>
      <c r="K63" s="4"/>
    </row>
    <row r="64" customFormat="false" ht="15" hidden="false" customHeight="true" outlineLevel="0" collapsed="false">
      <c r="A64" s="4"/>
      <c r="B64" s="4"/>
      <c r="C64" s="4"/>
      <c r="D64" s="4"/>
      <c r="E64" s="4"/>
      <c r="F64" s="4"/>
      <c r="G64" s="4"/>
      <c r="H64" s="4"/>
      <c r="I64" s="4"/>
      <c r="J64" s="4"/>
      <c r="K64" s="4"/>
    </row>
    <row r="65" customFormat="false" ht="15" hidden="false" customHeight="true" outlineLevel="0" collapsed="false">
      <c r="A65" s="4"/>
      <c r="B65" s="4"/>
      <c r="C65" s="4"/>
      <c r="D65" s="4"/>
      <c r="E65" s="4"/>
      <c r="F65" s="4"/>
      <c r="G65" s="4"/>
      <c r="H65" s="4"/>
      <c r="I65" s="4"/>
      <c r="J65" s="4"/>
      <c r="K65" s="4"/>
    </row>
    <row r="66" customFormat="false" ht="15" hidden="false" customHeight="true" outlineLevel="0" collapsed="false">
      <c r="A66" s="4"/>
      <c r="B66" s="4"/>
      <c r="C66" s="4"/>
      <c r="D66" s="4"/>
      <c r="E66" s="4"/>
      <c r="F66" s="4"/>
      <c r="G66" s="4"/>
      <c r="H66" s="4"/>
      <c r="I66" s="4"/>
      <c r="J66" s="4"/>
      <c r="K66" s="4"/>
    </row>
    <row r="67" customFormat="false" ht="15" hidden="false" customHeight="true" outlineLevel="0" collapsed="false">
      <c r="A67" s="4"/>
      <c r="B67" s="4"/>
      <c r="C67" s="4"/>
      <c r="D67" s="4"/>
      <c r="E67" s="4"/>
      <c r="F67" s="4"/>
      <c r="G67" s="4"/>
      <c r="H67" s="4"/>
      <c r="I67" s="4"/>
      <c r="J67" s="4"/>
      <c r="K67" s="4"/>
    </row>
    <row r="68" customFormat="false" ht="15" hidden="false" customHeight="true" outlineLevel="0" collapsed="false">
      <c r="A68" s="4"/>
      <c r="B68" s="4"/>
      <c r="C68" s="4"/>
      <c r="D68" s="4"/>
      <c r="E68" s="4"/>
      <c r="F68" s="4"/>
      <c r="G68" s="4"/>
      <c r="H68" s="4"/>
      <c r="I68" s="4"/>
      <c r="J68" s="4"/>
      <c r="K68" s="4"/>
    </row>
    <row r="69" customFormat="false" ht="15" hidden="false" customHeight="true" outlineLevel="0" collapsed="false">
      <c r="A69" s="4"/>
      <c r="B69" s="4"/>
      <c r="C69" s="4"/>
      <c r="D69" s="4"/>
      <c r="E69" s="4"/>
      <c r="F69" s="4"/>
      <c r="G69" s="4"/>
      <c r="H69" s="4"/>
      <c r="I69" s="4"/>
      <c r="J69" s="4"/>
      <c r="K69" s="4"/>
    </row>
    <row r="70" customFormat="false" ht="15" hidden="false" customHeight="true" outlineLevel="0" collapsed="false">
      <c r="A70" s="4"/>
      <c r="B70" s="4"/>
      <c r="C70" s="4"/>
      <c r="D70" s="4"/>
      <c r="E70" s="4"/>
      <c r="F70" s="4"/>
      <c r="G70" s="4"/>
      <c r="H70" s="4"/>
      <c r="I70" s="4"/>
      <c r="J70" s="4"/>
      <c r="K70" s="4"/>
    </row>
    <row r="71" customFormat="false" ht="15" hidden="false" customHeight="true" outlineLevel="0" collapsed="false">
      <c r="A71" s="4"/>
      <c r="B71" s="4"/>
      <c r="C71" s="4"/>
      <c r="D71" s="4"/>
      <c r="E71" s="4"/>
      <c r="F71" s="4"/>
      <c r="G71" s="4"/>
      <c r="H71" s="4"/>
      <c r="I71" s="4"/>
      <c r="J71" s="4"/>
      <c r="K71" s="4"/>
    </row>
    <row r="72" customFormat="false" ht="15" hidden="false" customHeight="true" outlineLevel="0" collapsed="false">
      <c r="A72" s="4"/>
      <c r="B72" s="4"/>
      <c r="C72" s="4"/>
      <c r="D72" s="4"/>
      <c r="E72" s="4"/>
      <c r="F72" s="4"/>
      <c r="G72" s="4"/>
      <c r="H72" s="4"/>
      <c r="I72" s="4"/>
      <c r="J72" s="4"/>
      <c r="K72" s="4"/>
    </row>
    <row r="73" customFormat="false" ht="15" hidden="false" customHeight="true" outlineLevel="0" collapsed="false">
      <c r="A73" s="4"/>
      <c r="B73" s="4"/>
      <c r="C73" s="4"/>
      <c r="D73" s="4"/>
      <c r="E73" s="4"/>
      <c r="F73" s="4"/>
      <c r="G73" s="4"/>
      <c r="H73" s="4"/>
      <c r="I73" s="4"/>
      <c r="J73" s="4"/>
      <c r="K73" s="4"/>
    </row>
    <row r="74" customFormat="false" ht="15" hidden="false" customHeight="true" outlineLevel="0" collapsed="false">
      <c r="A74" s="4"/>
      <c r="B74" s="4"/>
      <c r="C74" s="4"/>
      <c r="D74" s="4"/>
      <c r="E74" s="4"/>
      <c r="F74" s="4"/>
      <c r="G74" s="4"/>
      <c r="H74" s="4"/>
      <c r="I74" s="4"/>
      <c r="J74" s="4"/>
      <c r="K74" s="4"/>
    </row>
    <row r="75" customFormat="false" ht="15" hidden="false" customHeight="true" outlineLevel="0" collapsed="false">
      <c r="A75" s="4"/>
      <c r="B75" s="4"/>
      <c r="C75" s="4"/>
      <c r="D75" s="4"/>
      <c r="E75" s="4"/>
      <c r="F75" s="4"/>
      <c r="G75" s="4"/>
      <c r="H75" s="4"/>
      <c r="I75" s="4"/>
      <c r="J75" s="4"/>
      <c r="K75" s="4"/>
    </row>
    <row r="76" customFormat="false" ht="15" hidden="false" customHeight="true" outlineLevel="0" collapsed="false">
      <c r="A76" s="4"/>
      <c r="B76" s="4"/>
      <c r="C76" s="4"/>
      <c r="D76" s="4"/>
      <c r="E76" s="4"/>
      <c r="F76" s="4"/>
      <c r="G76" s="4"/>
      <c r="H76" s="4"/>
      <c r="I76" s="4"/>
      <c r="J76" s="4"/>
      <c r="K76" s="4"/>
    </row>
    <row r="77" customFormat="false" ht="15" hidden="false" customHeight="true" outlineLevel="0" collapsed="false">
      <c r="A77" s="4"/>
      <c r="B77" s="4"/>
      <c r="C77" s="4"/>
      <c r="D77" s="4"/>
      <c r="E77" s="4"/>
      <c r="F77" s="4"/>
      <c r="G77" s="4"/>
      <c r="H77" s="4"/>
      <c r="I77" s="4"/>
      <c r="J77" s="4"/>
      <c r="K77" s="4"/>
    </row>
    <row r="78" customFormat="false" ht="15" hidden="false" customHeight="true" outlineLevel="0" collapsed="false">
      <c r="A78" s="4"/>
      <c r="B78" s="4"/>
      <c r="C78" s="4"/>
      <c r="D78" s="4"/>
      <c r="E78" s="4"/>
      <c r="F78" s="4"/>
      <c r="G78" s="4"/>
      <c r="H78" s="4"/>
      <c r="I78" s="4"/>
      <c r="J78" s="4"/>
      <c r="K78" s="4"/>
    </row>
    <row r="79" customFormat="false" ht="15" hidden="false" customHeight="true" outlineLevel="0" collapsed="false">
      <c r="A79" s="4"/>
      <c r="B79" s="4"/>
      <c r="C79" s="4"/>
      <c r="D79" s="4"/>
      <c r="E79" s="4"/>
      <c r="F79" s="4"/>
      <c r="G79" s="4"/>
      <c r="H79" s="4"/>
      <c r="I79" s="4"/>
      <c r="J79" s="4"/>
      <c r="K79" s="4"/>
    </row>
    <row r="80" customFormat="false" ht="15" hidden="false" customHeight="true" outlineLevel="0" collapsed="false">
      <c r="A80" s="4"/>
      <c r="B80" s="4"/>
      <c r="C80" s="4"/>
      <c r="D80" s="4"/>
      <c r="E80" s="4"/>
      <c r="F80" s="4"/>
      <c r="G80" s="4"/>
      <c r="H80" s="4"/>
      <c r="I80" s="4"/>
      <c r="J80" s="4"/>
      <c r="K80" s="4"/>
    </row>
    <row r="81" customFormat="false" ht="15" hidden="false" customHeight="true" outlineLevel="0" collapsed="false">
      <c r="A81" s="4"/>
      <c r="B81" s="4"/>
      <c r="C81" s="4"/>
      <c r="D81" s="4"/>
      <c r="E81" s="4"/>
      <c r="F81" s="4"/>
      <c r="G81" s="4"/>
      <c r="H81" s="4"/>
      <c r="I81" s="4"/>
      <c r="J81" s="4"/>
      <c r="K81" s="4"/>
    </row>
    <row r="82" customFormat="false" ht="15" hidden="false" customHeight="true" outlineLevel="0" collapsed="false">
      <c r="A82" s="4"/>
      <c r="B82" s="4"/>
      <c r="C82" s="4"/>
      <c r="D82" s="4"/>
      <c r="E82" s="4"/>
      <c r="F82" s="4"/>
      <c r="G82" s="4"/>
      <c r="H82" s="4"/>
      <c r="I82" s="4"/>
      <c r="J82" s="4"/>
      <c r="K82" s="4"/>
    </row>
    <row r="83" customFormat="false" ht="15" hidden="false" customHeight="true" outlineLevel="0" collapsed="false">
      <c r="A83" s="4"/>
      <c r="B83" s="4"/>
      <c r="C83" s="4"/>
      <c r="D83" s="4"/>
      <c r="E83" s="4"/>
      <c r="F83" s="4"/>
      <c r="G83" s="4"/>
      <c r="H83" s="4"/>
      <c r="I83" s="4"/>
      <c r="J83" s="4"/>
      <c r="K83" s="4"/>
    </row>
    <row r="84" customFormat="false" ht="15" hidden="false" customHeight="true" outlineLevel="0" collapsed="false">
      <c r="A84" s="4"/>
      <c r="B84" s="4"/>
      <c r="C84" s="4"/>
      <c r="D84" s="4"/>
      <c r="E84" s="4"/>
      <c r="F84" s="4"/>
      <c r="G84" s="4"/>
      <c r="H84" s="4"/>
      <c r="I84" s="4"/>
      <c r="J84" s="4"/>
      <c r="K84" s="4"/>
    </row>
    <row r="85" customFormat="false" ht="15" hidden="false" customHeight="true" outlineLevel="0" collapsed="false">
      <c r="A85" s="4"/>
      <c r="B85" s="4"/>
      <c r="C85" s="4"/>
      <c r="D85" s="4"/>
      <c r="E85" s="4"/>
      <c r="F85" s="4"/>
      <c r="G85" s="4"/>
      <c r="H85" s="4"/>
      <c r="I85" s="4"/>
      <c r="J85" s="4"/>
      <c r="K85" s="4"/>
    </row>
    <row r="86" customFormat="false" ht="15" hidden="false" customHeight="true" outlineLevel="0" collapsed="false">
      <c r="A86" s="4"/>
      <c r="B86" s="4"/>
      <c r="C86" s="4"/>
      <c r="D86" s="4"/>
      <c r="E86" s="4"/>
      <c r="F86" s="4"/>
      <c r="G86" s="4"/>
      <c r="H86" s="4"/>
      <c r="I86" s="4"/>
      <c r="J86" s="4"/>
      <c r="K86" s="4"/>
    </row>
    <row r="87" customFormat="false" ht="15" hidden="false" customHeight="true" outlineLevel="0" collapsed="false">
      <c r="A87" s="4"/>
      <c r="B87" s="4"/>
      <c r="C87" s="4"/>
      <c r="D87" s="4"/>
      <c r="E87" s="4"/>
      <c r="F87" s="4"/>
      <c r="G87" s="4"/>
      <c r="H87" s="4"/>
      <c r="I87" s="4"/>
      <c r="J87" s="4"/>
      <c r="K87" s="4"/>
    </row>
    <row r="88" customFormat="false" ht="15" hidden="false" customHeight="true" outlineLevel="0" collapsed="false">
      <c r="A88" s="4"/>
      <c r="B88" s="4"/>
      <c r="C88" s="4"/>
      <c r="D88" s="4"/>
      <c r="E88" s="4"/>
      <c r="F88" s="4"/>
      <c r="G88" s="4"/>
      <c r="H88" s="4"/>
      <c r="I88" s="4"/>
      <c r="J88" s="4"/>
      <c r="K88" s="4"/>
    </row>
    <row r="89" customFormat="false" ht="15" hidden="false" customHeight="true" outlineLevel="0" collapsed="false">
      <c r="A89" s="4"/>
      <c r="B89" s="4"/>
      <c r="C89" s="4"/>
      <c r="D89" s="4"/>
      <c r="E89" s="4"/>
      <c r="F89" s="4"/>
      <c r="G89" s="4"/>
      <c r="H89" s="4"/>
      <c r="I89" s="4"/>
      <c r="J89" s="4"/>
      <c r="K89" s="4"/>
    </row>
    <row r="90" customFormat="false" ht="15" hidden="false" customHeight="true" outlineLevel="0" collapsed="false">
      <c r="A90" s="4"/>
      <c r="B90" s="4"/>
      <c r="C90" s="4"/>
      <c r="D90" s="4"/>
      <c r="E90" s="4"/>
      <c r="F90" s="4"/>
      <c r="G90" s="4"/>
      <c r="H90" s="4"/>
      <c r="I90" s="4"/>
      <c r="J90" s="4"/>
      <c r="K90" s="4"/>
    </row>
    <row r="91" customFormat="false" ht="15" hidden="false" customHeight="true" outlineLevel="0" collapsed="false">
      <c r="A91" s="4"/>
      <c r="B91" s="4"/>
      <c r="C91" s="4"/>
      <c r="D91" s="4"/>
      <c r="E91" s="4"/>
      <c r="F91" s="4"/>
      <c r="G91" s="4"/>
      <c r="H91" s="4"/>
      <c r="I91" s="4"/>
      <c r="J91" s="4"/>
      <c r="K91" s="4"/>
    </row>
    <row r="92" customFormat="false" ht="15" hidden="false" customHeight="true" outlineLevel="0" collapsed="false">
      <c r="A92" s="4"/>
      <c r="B92" s="4"/>
      <c r="C92" s="4"/>
      <c r="D92" s="4"/>
      <c r="E92" s="4"/>
      <c r="F92" s="4"/>
      <c r="G92" s="4"/>
      <c r="H92" s="4"/>
      <c r="I92" s="4"/>
      <c r="J92" s="4"/>
      <c r="K92" s="4"/>
    </row>
    <row r="93" customFormat="false" ht="15" hidden="false" customHeight="true" outlineLevel="0" collapsed="false">
      <c r="A93" s="4"/>
      <c r="B93" s="4"/>
      <c r="C93" s="4"/>
      <c r="D93" s="4"/>
      <c r="E93" s="4"/>
      <c r="F93" s="4"/>
      <c r="G93" s="4"/>
      <c r="H93" s="4"/>
      <c r="I93" s="4"/>
      <c r="J93" s="4"/>
      <c r="K93" s="4"/>
    </row>
    <row r="94" customFormat="false" ht="15" hidden="false" customHeight="true" outlineLevel="0" collapsed="false">
      <c r="A94" s="4"/>
      <c r="B94" s="4"/>
      <c r="C94" s="4"/>
      <c r="D94" s="4"/>
      <c r="E94" s="4"/>
      <c r="F94" s="4"/>
      <c r="G94" s="4"/>
      <c r="H94" s="4"/>
      <c r="I94" s="4"/>
      <c r="J94" s="4"/>
      <c r="K94" s="4"/>
    </row>
    <row r="95" customFormat="false" ht="15" hidden="false" customHeight="true" outlineLevel="0" collapsed="false">
      <c r="A95" s="4"/>
      <c r="B95" s="4"/>
      <c r="C95" s="4"/>
      <c r="D95" s="4"/>
      <c r="E95" s="4"/>
      <c r="F95" s="4"/>
      <c r="G95" s="4"/>
      <c r="H95" s="4"/>
      <c r="I95" s="4"/>
      <c r="J95" s="4"/>
      <c r="K95" s="4"/>
    </row>
    <row r="96" customFormat="false" ht="15" hidden="false" customHeight="true" outlineLevel="0" collapsed="false">
      <c r="A96" s="4"/>
      <c r="B96" s="4"/>
      <c r="C96" s="4"/>
      <c r="D96" s="4"/>
      <c r="E96" s="4"/>
      <c r="F96" s="4"/>
      <c r="G96" s="4"/>
      <c r="H96" s="4"/>
      <c r="I96" s="4"/>
      <c r="J96" s="4"/>
      <c r="K96" s="4"/>
    </row>
    <row r="97" customFormat="false" ht="15" hidden="false" customHeight="true" outlineLevel="0" collapsed="false">
      <c r="A97" s="4"/>
      <c r="B97" s="4"/>
      <c r="C97" s="4"/>
      <c r="D97" s="4"/>
      <c r="E97" s="4"/>
      <c r="F97" s="4"/>
      <c r="G97" s="4"/>
      <c r="H97" s="4"/>
      <c r="I97" s="4"/>
      <c r="J97" s="4"/>
      <c r="K97" s="4"/>
    </row>
    <row r="98" customFormat="false" ht="15" hidden="false" customHeight="true" outlineLevel="0" collapsed="false">
      <c r="A98" s="4"/>
      <c r="B98" s="4"/>
      <c r="C98" s="4"/>
      <c r="D98" s="4"/>
      <c r="E98" s="4"/>
      <c r="F98" s="4"/>
      <c r="G98" s="4"/>
      <c r="H98" s="4"/>
      <c r="I98" s="4"/>
      <c r="J98" s="4"/>
      <c r="K98" s="4"/>
    </row>
    <row r="99" customFormat="false" ht="15" hidden="false" customHeight="true" outlineLevel="0" collapsed="false">
      <c r="A99" s="4"/>
      <c r="B99" s="4"/>
      <c r="C99" s="4"/>
      <c r="D99" s="4"/>
      <c r="E99" s="4"/>
      <c r="F99" s="4"/>
      <c r="G99" s="4"/>
      <c r="H99" s="4"/>
      <c r="I99" s="4"/>
      <c r="J99" s="4"/>
      <c r="K99" s="4"/>
    </row>
    <row r="100" customFormat="false" ht="15" hidden="false" customHeight="true" outlineLevel="0" collapsed="false">
      <c r="A100" s="4"/>
      <c r="B100" s="4"/>
      <c r="C100" s="4"/>
      <c r="D100" s="4"/>
      <c r="E100" s="4"/>
      <c r="F100" s="4"/>
      <c r="G100" s="4"/>
      <c r="H100" s="4"/>
      <c r="I100" s="4"/>
      <c r="J100" s="4"/>
      <c r="K100" s="4"/>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28"/>
    <col collapsed="false" customWidth="true" hidden="false" outlineLevel="0" max="2" min="2" style="17" width="42"/>
    <col collapsed="false" customWidth="true" hidden="false" outlineLevel="0" max="3" min="3" style="17" width="24"/>
    <col collapsed="false" customWidth="true" hidden="false" outlineLevel="0" max="4" min="4" style="17" width="18"/>
    <col collapsed="false" customWidth="true" hidden="false" outlineLevel="0" max="5" min="5" style="17" width="22"/>
    <col collapsed="false" customWidth="true" hidden="false" outlineLevel="0" max="6" min="6" style="17" width="70"/>
  </cols>
  <sheetData>
    <row r="1" customFormat="false" ht="19.5" hidden="false" customHeight="true" outlineLevel="0" collapsed="false">
      <c r="A1" s="104" t="s">
        <v>1666</v>
      </c>
      <c r="B1" s="104"/>
      <c r="C1" s="104"/>
      <c r="D1" s="104"/>
      <c r="E1" s="104"/>
      <c r="F1" s="104"/>
      <c r="G1" s="4"/>
      <c r="H1" s="4"/>
      <c r="I1" s="4"/>
      <c r="J1" s="4"/>
      <c r="K1" s="4"/>
    </row>
    <row r="2" customFormat="false" ht="15" hidden="false" customHeight="true" outlineLevel="0" collapsed="false">
      <c r="A2" s="4" t="s">
        <v>1667</v>
      </c>
      <c r="B2" s="4" t="s">
        <v>1668</v>
      </c>
      <c r="C2" s="4" t="s">
        <v>1669</v>
      </c>
      <c r="D2" s="4" t="n">
        <v>0</v>
      </c>
      <c r="E2" s="4" t="s">
        <v>1670</v>
      </c>
      <c r="F2" s="4" t="s">
        <v>1671</v>
      </c>
      <c r="G2" s="4"/>
      <c r="H2" s="4"/>
      <c r="I2" s="4"/>
      <c r="J2" s="4"/>
      <c r="K2" s="4"/>
    </row>
    <row r="3" customFormat="false" ht="23.25" hidden="false" customHeight="true" outlineLevel="0" collapsed="false">
      <c r="A3" s="37" t="s">
        <v>1672</v>
      </c>
      <c r="B3" s="37" t="s">
        <v>1673</v>
      </c>
      <c r="C3" s="37" t="s">
        <v>1674</v>
      </c>
      <c r="D3" s="37" t="s">
        <v>1675</v>
      </c>
      <c r="E3" s="37" t="s">
        <v>1634</v>
      </c>
      <c r="F3" s="37" t="s">
        <v>1676</v>
      </c>
      <c r="G3" s="4"/>
      <c r="H3" s="4"/>
      <c r="I3" s="4"/>
      <c r="J3" s="4"/>
      <c r="K3" s="4"/>
    </row>
    <row r="4" customFormat="false" ht="45.75" hidden="false" customHeight="true" outlineLevel="0" collapsed="false">
      <c r="A4" s="4" t="s">
        <v>1677</v>
      </c>
      <c r="B4" s="4" t="s">
        <v>1678</v>
      </c>
      <c r="C4" s="4" t="s">
        <v>1679</v>
      </c>
      <c r="D4" s="50" t="n">
        <v>20470.757841</v>
      </c>
      <c r="E4" s="4" t="s">
        <v>1680</v>
      </c>
      <c r="F4" s="4" t="s">
        <v>1681</v>
      </c>
      <c r="G4" s="4"/>
      <c r="H4" s="4"/>
      <c r="I4" s="4"/>
      <c r="J4" s="4"/>
      <c r="K4" s="4"/>
    </row>
    <row r="5" customFormat="false" ht="23.25" hidden="false" customHeight="true" outlineLevel="0" collapsed="false">
      <c r="A5" s="4" t="s">
        <v>1682</v>
      </c>
      <c r="B5" s="4" t="s">
        <v>1683</v>
      </c>
      <c r="C5" s="4" t="s">
        <v>1684</v>
      </c>
      <c r="D5" s="50" t="n">
        <v>0</v>
      </c>
      <c r="E5" s="4" t="s">
        <v>1680</v>
      </c>
      <c r="F5" s="4" t="s">
        <v>1685</v>
      </c>
      <c r="G5" s="4"/>
      <c r="H5" s="4"/>
      <c r="I5" s="4"/>
      <c r="J5" s="4"/>
      <c r="K5" s="4"/>
    </row>
    <row r="6" customFormat="false" ht="23.25" hidden="false" customHeight="true" outlineLevel="0" collapsed="false">
      <c r="A6" s="4" t="s">
        <v>1686</v>
      </c>
      <c r="B6" s="4" t="s">
        <v>1687</v>
      </c>
      <c r="C6" s="4" t="s">
        <v>1684</v>
      </c>
      <c r="D6" s="50" t="n">
        <v>0</v>
      </c>
      <c r="E6" s="4" t="s">
        <v>1680</v>
      </c>
      <c r="F6" s="4" t="s">
        <v>1688</v>
      </c>
      <c r="G6" s="4"/>
      <c r="H6" s="4"/>
      <c r="I6" s="4"/>
      <c r="J6" s="4"/>
      <c r="K6" s="4"/>
    </row>
    <row r="7" customFormat="false" ht="23.25" hidden="false" customHeight="true" outlineLevel="0" collapsed="false">
      <c r="A7" s="4" t="s">
        <v>172</v>
      </c>
      <c r="B7" s="4" t="s">
        <v>1689</v>
      </c>
      <c r="C7" s="4" t="s">
        <v>898</v>
      </c>
      <c r="D7" s="50" t="n">
        <v>1.50330594</v>
      </c>
      <c r="E7" s="4" t="s">
        <v>239</v>
      </c>
      <c r="F7" s="4" t="s">
        <v>1690</v>
      </c>
      <c r="G7" s="4"/>
      <c r="H7" s="4"/>
      <c r="I7" s="4"/>
      <c r="J7" s="4"/>
      <c r="K7" s="4"/>
    </row>
    <row r="8" customFormat="false" ht="34.5" hidden="false" customHeight="true" outlineLevel="0" collapsed="false">
      <c r="A8" s="4" t="s">
        <v>1691</v>
      </c>
      <c r="B8" s="4" t="s">
        <v>1692</v>
      </c>
      <c r="C8" s="4" t="s">
        <v>900</v>
      </c>
      <c r="D8" s="50" t="n">
        <v>28.2709956</v>
      </c>
      <c r="E8" s="4" t="s">
        <v>239</v>
      </c>
      <c r="F8" s="4" t="s">
        <v>1693</v>
      </c>
      <c r="G8" s="4"/>
      <c r="H8" s="4"/>
      <c r="I8" s="4"/>
      <c r="J8" s="4"/>
      <c r="K8" s="4"/>
    </row>
    <row r="9" customFormat="false" ht="23.25" hidden="false" customHeight="true" outlineLevel="0" collapsed="false">
      <c r="A9" s="4" t="s">
        <v>1694</v>
      </c>
      <c r="B9" s="4" t="s">
        <v>1695</v>
      </c>
      <c r="C9" s="4" t="s">
        <v>898</v>
      </c>
      <c r="D9" s="50" t="n">
        <v>11.001</v>
      </c>
      <c r="E9" s="4" t="s">
        <v>1047</v>
      </c>
      <c r="F9" s="4" t="s">
        <v>1696</v>
      </c>
      <c r="G9" s="4"/>
      <c r="H9" s="4"/>
      <c r="I9" s="4"/>
      <c r="J9" s="4"/>
      <c r="K9" s="4"/>
    </row>
    <row r="10" customFormat="false" ht="23.25" hidden="false" customHeight="true" outlineLevel="0" collapsed="false">
      <c r="A10" s="4" t="s">
        <v>1697</v>
      </c>
      <c r="B10" s="4" t="s">
        <v>1698</v>
      </c>
      <c r="C10" s="4" t="s">
        <v>1699</v>
      </c>
      <c r="D10" s="50" t="n">
        <v>33.003</v>
      </c>
      <c r="E10" s="4" t="s">
        <v>239</v>
      </c>
      <c r="F10" s="4" t="s">
        <v>1700</v>
      </c>
      <c r="G10" s="4"/>
      <c r="H10" s="4"/>
      <c r="I10" s="4"/>
      <c r="J10" s="4"/>
      <c r="K10" s="4"/>
    </row>
    <row r="11" customFormat="false" ht="23.25" hidden="false" customHeight="true" outlineLevel="0" collapsed="false">
      <c r="A11" s="4" t="s">
        <v>252</v>
      </c>
      <c r="B11" s="4" t="s">
        <v>1701</v>
      </c>
      <c r="C11" s="4" t="s">
        <v>900</v>
      </c>
      <c r="D11" s="50" t="n">
        <v>142.920192789</v>
      </c>
      <c r="E11" s="4" t="s">
        <v>239</v>
      </c>
      <c r="F11" s="4" t="s">
        <v>1702</v>
      </c>
      <c r="G11" s="4"/>
      <c r="H11" s="4"/>
      <c r="I11" s="4"/>
      <c r="J11" s="4"/>
      <c r="K11" s="4"/>
    </row>
    <row r="12" customFormat="false" ht="34.5" hidden="false" customHeight="true" outlineLevel="0" collapsed="false">
      <c r="A12" s="4" t="s">
        <v>255</v>
      </c>
      <c r="B12" s="4" t="s">
        <v>1703</v>
      </c>
      <c r="C12" s="4" t="s">
        <v>903</v>
      </c>
      <c r="D12" s="50" t="n">
        <v>3.307053161</v>
      </c>
      <c r="E12" s="4" t="s">
        <v>239</v>
      </c>
      <c r="F12" s="4" t="s">
        <v>1704</v>
      </c>
      <c r="G12" s="4"/>
      <c r="H12" s="4"/>
      <c r="I12" s="4"/>
      <c r="J12" s="4"/>
      <c r="K12" s="4"/>
    </row>
    <row r="13" customFormat="false" ht="23.25" hidden="false" customHeight="true" outlineLevel="0" collapsed="false">
      <c r="A13" s="4" t="s">
        <v>1705</v>
      </c>
      <c r="B13" s="4" t="s">
        <v>1706</v>
      </c>
      <c r="C13" s="4" t="s">
        <v>1707</v>
      </c>
      <c r="D13" s="50" t="n">
        <v>7.95</v>
      </c>
      <c r="E13" s="4" t="s">
        <v>239</v>
      </c>
      <c r="F13" s="4" t="s">
        <v>1708</v>
      </c>
      <c r="G13" s="4"/>
      <c r="H13" s="4"/>
      <c r="I13" s="4"/>
      <c r="J13" s="4"/>
      <c r="K13" s="4"/>
    </row>
    <row r="14" customFormat="false" ht="23.25" hidden="false" customHeight="true" outlineLevel="0" collapsed="false">
      <c r="A14" s="4" t="s">
        <v>261</v>
      </c>
      <c r="B14" s="4" t="s">
        <v>1709</v>
      </c>
      <c r="C14" s="4" t="s">
        <v>907</v>
      </c>
      <c r="D14" s="50" t="n">
        <v>151.4038</v>
      </c>
      <c r="E14" s="4" t="s">
        <v>239</v>
      </c>
      <c r="F14" s="4" t="s">
        <v>1710</v>
      </c>
      <c r="G14" s="4"/>
      <c r="H14" s="4"/>
      <c r="I14" s="4"/>
      <c r="J14" s="4"/>
      <c r="K14" s="4"/>
    </row>
    <row r="15" customFormat="false" ht="23.25" hidden="false" customHeight="true" outlineLevel="0" collapsed="false">
      <c r="A15" s="4" t="s">
        <v>14</v>
      </c>
      <c r="B15" s="4" t="s">
        <v>1711</v>
      </c>
      <c r="C15" s="4" t="s">
        <v>910</v>
      </c>
      <c r="D15" s="50" t="n">
        <v>73.9595975475</v>
      </c>
      <c r="E15" s="4" t="s">
        <v>1712</v>
      </c>
      <c r="F15" s="4" t="s">
        <v>1713</v>
      </c>
      <c r="G15" s="4"/>
      <c r="H15" s="4"/>
      <c r="I15" s="4"/>
      <c r="J15" s="4"/>
      <c r="K15" s="4"/>
    </row>
    <row r="16" customFormat="false" ht="23.25" hidden="false" customHeight="true" outlineLevel="0" collapsed="false">
      <c r="A16" s="4" t="s">
        <v>264</v>
      </c>
      <c r="B16" s="4" t="s">
        <v>1714</v>
      </c>
      <c r="C16" s="4" t="s">
        <v>908</v>
      </c>
      <c r="D16" s="50" t="n">
        <v>12.06373</v>
      </c>
      <c r="E16" s="4" t="s">
        <v>239</v>
      </c>
      <c r="F16" s="4" t="s">
        <v>1715</v>
      </c>
      <c r="G16" s="4"/>
      <c r="H16" s="4"/>
      <c r="I16" s="4"/>
      <c r="J16" s="4"/>
      <c r="K16" s="4"/>
    </row>
    <row r="17" customFormat="false" ht="15" hidden="false" customHeight="true" outlineLevel="0" collapsed="false">
      <c r="A17" s="4" t="s">
        <v>274</v>
      </c>
      <c r="B17" s="4" t="s">
        <v>1716</v>
      </c>
      <c r="C17" s="4" t="s">
        <v>914</v>
      </c>
      <c r="D17" s="50" t="n">
        <v>2232.929</v>
      </c>
      <c r="E17" s="4" t="s">
        <v>239</v>
      </c>
      <c r="F17" s="4" t="s">
        <v>1717</v>
      </c>
      <c r="G17" s="4"/>
      <c r="H17" s="4"/>
      <c r="I17" s="4"/>
      <c r="J17" s="4"/>
      <c r="K17" s="4"/>
    </row>
    <row r="18" customFormat="false" ht="34.5" hidden="false" customHeight="true" outlineLevel="0" collapsed="false">
      <c r="A18" s="4" t="s">
        <v>1718</v>
      </c>
      <c r="B18" s="4" t="s">
        <v>1719</v>
      </c>
      <c r="C18" s="4" t="s">
        <v>1720</v>
      </c>
      <c r="D18" s="50"/>
      <c r="E18" s="4" t="s">
        <v>1721</v>
      </c>
      <c r="F18" s="4" t="s">
        <v>1722</v>
      </c>
      <c r="G18" s="4"/>
      <c r="H18" s="4"/>
      <c r="I18" s="4"/>
      <c r="J18" s="4"/>
      <c r="K18" s="4"/>
    </row>
    <row r="19" customFormat="false" ht="23.25" hidden="false" customHeight="true" outlineLevel="0" collapsed="false">
      <c r="A19" s="4" t="s">
        <v>1723</v>
      </c>
      <c r="B19" s="4" t="s">
        <v>1724</v>
      </c>
      <c r="C19" s="4" t="s">
        <v>1725</v>
      </c>
      <c r="D19" s="50"/>
      <c r="E19" s="4" t="s">
        <v>1721</v>
      </c>
      <c r="F19" s="4" t="s">
        <v>1726</v>
      </c>
      <c r="G19" s="4"/>
      <c r="H19" s="4"/>
      <c r="I19" s="4"/>
      <c r="J19" s="4"/>
      <c r="K19" s="4"/>
    </row>
    <row r="20" customFormat="false" ht="15" hidden="false" customHeight="true" outlineLevel="0" collapsed="false">
      <c r="A20" s="4"/>
      <c r="B20" s="4"/>
      <c r="C20" s="4"/>
      <c r="D20" s="4"/>
      <c r="E20" s="4"/>
      <c r="F20" s="4"/>
      <c r="G20" s="4"/>
      <c r="H20" s="4"/>
      <c r="I20" s="4"/>
      <c r="J20" s="4"/>
      <c r="K20" s="4"/>
    </row>
    <row r="21" customFormat="false" ht="15" hidden="false" customHeight="true" outlineLevel="0" collapsed="false">
      <c r="A21" s="4" t="s">
        <v>1667</v>
      </c>
      <c r="B21" s="4" t="s">
        <v>1668</v>
      </c>
      <c r="C21" s="4" t="s">
        <v>1669</v>
      </c>
      <c r="D21" s="4" t="n">
        <v>0</v>
      </c>
      <c r="E21" s="4" t="s">
        <v>1670</v>
      </c>
      <c r="F21" s="4" t="s">
        <v>1671</v>
      </c>
      <c r="G21" s="4"/>
      <c r="H21" s="4"/>
      <c r="I21" s="4"/>
      <c r="J21" s="4"/>
      <c r="K21" s="4"/>
    </row>
    <row r="22" customFormat="false" ht="15" hidden="false" customHeight="true" outlineLevel="0" collapsed="false">
      <c r="A22" s="4" t="s">
        <v>1727</v>
      </c>
      <c r="B22" s="4" t="s">
        <v>1728</v>
      </c>
      <c r="C22" s="4" t="s">
        <v>1729</v>
      </c>
      <c r="D22" s="4" t="n">
        <v>0</v>
      </c>
      <c r="E22" s="4" t="s">
        <v>1730</v>
      </c>
      <c r="F22" s="4" t="s">
        <v>1731</v>
      </c>
      <c r="G22" s="4"/>
      <c r="H22" s="4"/>
      <c r="I22" s="4"/>
      <c r="J22" s="4"/>
      <c r="K22" s="4"/>
    </row>
    <row r="23" customFormat="false" ht="15" hidden="false" customHeight="true" outlineLevel="0" collapsed="false">
      <c r="A23" s="4" t="s">
        <v>1732</v>
      </c>
      <c r="B23" s="4" t="s">
        <v>1733</v>
      </c>
      <c r="C23" s="4" t="s">
        <v>1734</v>
      </c>
      <c r="D23" s="4" t="n">
        <v>0</v>
      </c>
      <c r="E23" s="4" t="s">
        <v>1735</v>
      </c>
      <c r="F23" s="4" t="s">
        <v>1736</v>
      </c>
      <c r="G23" s="4"/>
      <c r="H23" s="4"/>
      <c r="I23" s="4"/>
      <c r="J23" s="4"/>
      <c r="K23" s="4"/>
    </row>
    <row r="24" customFormat="false" ht="15" hidden="false" customHeight="true" outlineLevel="0" collapsed="false">
      <c r="A24" s="4" t="s">
        <v>1737</v>
      </c>
      <c r="B24" s="4" t="s">
        <v>1738</v>
      </c>
      <c r="C24" s="4" t="s">
        <v>1739</v>
      </c>
      <c r="D24" s="4" t="n">
        <v>0</v>
      </c>
      <c r="E24" s="4" t="s">
        <v>1740</v>
      </c>
      <c r="F24" s="4" t="s">
        <v>1741</v>
      </c>
      <c r="G24" s="4"/>
      <c r="H24" s="4"/>
      <c r="I24" s="4"/>
      <c r="J24" s="4"/>
      <c r="K24" s="4"/>
    </row>
    <row r="25" customFormat="false" ht="15" hidden="false" customHeight="true" outlineLevel="0" collapsed="false">
      <c r="A25" s="4" t="s">
        <v>1742</v>
      </c>
      <c r="B25" s="4" t="s">
        <v>1743</v>
      </c>
      <c r="C25" s="4" t="s">
        <v>1729</v>
      </c>
      <c r="D25" s="4" t="n">
        <v>0</v>
      </c>
      <c r="E25" s="4" t="s">
        <v>1730</v>
      </c>
      <c r="F25" s="4" t="s">
        <v>1744</v>
      </c>
      <c r="G25" s="4"/>
      <c r="H25" s="4"/>
      <c r="I25" s="4"/>
      <c r="J25" s="4"/>
      <c r="K25" s="4"/>
    </row>
    <row r="26" customFormat="false" ht="15" hidden="false" customHeight="true" outlineLevel="0" collapsed="false">
      <c r="A26" s="4" t="s">
        <v>1745</v>
      </c>
      <c r="B26" s="4" t="s">
        <v>1746</v>
      </c>
      <c r="C26" s="4" t="s">
        <v>1747</v>
      </c>
      <c r="D26" s="4" t="n">
        <v>0</v>
      </c>
      <c r="E26" s="4" t="s">
        <v>1730</v>
      </c>
      <c r="F26" s="4" t="s">
        <v>1748</v>
      </c>
      <c r="G26" s="4"/>
      <c r="H26" s="4"/>
      <c r="I26" s="4"/>
      <c r="J26" s="4"/>
      <c r="K26" s="4"/>
    </row>
    <row r="27" customFormat="false" ht="15" hidden="false" customHeight="true" outlineLevel="0" collapsed="false">
      <c r="A27" s="4"/>
      <c r="B27" s="4"/>
      <c r="C27" s="4"/>
      <c r="D27" s="4"/>
      <c r="E27" s="4"/>
      <c r="F27" s="4"/>
      <c r="G27" s="4"/>
      <c r="H27" s="4"/>
      <c r="I27" s="4"/>
      <c r="J27" s="4"/>
      <c r="K27" s="4"/>
    </row>
    <row r="28" customFormat="false" ht="15" hidden="false" customHeight="true" outlineLevel="0" collapsed="false">
      <c r="A28" s="4"/>
      <c r="B28" s="4"/>
      <c r="C28" s="4"/>
      <c r="D28" s="4"/>
      <c r="E28" s="4"/>
      <c r="F28" s="4"/>
      <c r="G28" s="4"/>
      <c r="H28" s="4"/>
      <c r="I28" s="4"/>
      <c r="J28" s="4"/>
      <c r="K28" s="4"/>
    </row>
    <row r="29" customFormat="false" ht="15" hidden="false" customHeight="true" outlineLevel="0" collapsed="false">
      <c r="A29" s="4"/>
      <c r="B29" s="4"/>
      <c r="C29" s="4"/>
      <c r="D29" s="4"/>
      <c r="E29" s="4"/>
      <c r="F29" s="4"/>
      <c r="G29" s="4"/>
      <c r="H29" s="4"/>
      <c r="I29" s="4"/>
      <c r="J29" s="4"/>
      <c r="K29" s="4"/>
    </row>
    <row r="30" customFormat="false" ht="15" hidden="false" customHeight="true" outlineLevel="0" collapsed="false">
      <c r="A30" s="4"/>
      <c r="B30" s="4"/>
      <c r="C30" s="4"/>
      <c r="D30" s="4"/>
      <c r="E30" s="4"/>
      <c r="F30" s="4"/>
      <c r="G30" s="4"/>
      <c r="H30" s="4"/>
      <c r="I30" s="4"/>
      <c r="J30" s="4"/>
      <c r="K30" s="4"/>
    </row>
    <row r="31" customFormat="false" ht="15" hidden="false" customHeight="true" outlineLevel="0" collapsed="false">
      <c r="A31" s="4"/>
      <c r="B31" s="4"/>
      <c r="C31" s="4"/>
      <c r="D31" s="4"/>
      <c r="E31" s="4"/>
      <c r="F31" s="4"/>
      <c r="G31" s="4"/>
      <c r="H31" s="4"/>
      <c r="I31" s="4"/>
      <c r="J31" s="4"/>
      <c r="K31" s="4"/>
    </row>
    <row r="32" customFormat="false" ht="15" hidden="false" customHeight="true" outlineLevel="0" collapsed="false">
      <c r="A32" s="4"/>
      <c r="B32" s="4"/>
      <c r="C32" s="4"/>
      <c r="D32" s="4"/>
      <c r="E32" s="4"/>
      <c r="F32" s="4"/>
      <c r="G32" s="4"/>
      <c r="H32" s="4"/>
      <c r="I32" s="4"/>
      <c r="J32" s="4"/>
      <c r="K32" s="4"/>
    </row>
    <row r="33" customFormat="false" ht="15" hidden="false" customHeight="true" outlineLevel="0" collapsed="false">
      <c r="A33" s="4"/>
      <c r="B33" s="4"/>
      <c r="C33" s="4"/>
      <c r="D33" s="4"/>
      <c r="E33" s="4"/>
      <c r="F33" s="4"/>
      <c r="G33" s="4"/>
      <c r="H33" s="4"/>
      <c r="I33" s="4"/>
      <c r="J33" s="4"/>
      <c r="K33" s="4"/>
    </row>
    <row r="34" customFormat="false" ht="15" hidden="false" customHeight="true" outlineLevel="0" collapsed="false">
      <c r="A34" s="4"/>
      <c r="B34" s="4"/>
      <c r="C34" s="4"/>
      <c r="D34" s="4"/>
      <c r="E34" s="4"/>
      <c r="F34" s="4"/>
      <c r="G34" s="4"/>
      <c r="H34" s="4"/>
      <c r="I34" s="4"/>
      <c r="J34" s="4"/>
      <c r="K34" s="4"/>
    </row>
    <row r="35" customFormat="false" ht="15" hidden="false" customHeight="true" outlineLevel="0" collapsed="false">
      <c r="A35" s="4"/>
      <c r="B35" s="4"/>
      <c r="C35" s="4"/>
      <c r="D35" s="4"/>
      <c r="E35" s="4"/>
      <c r="F35" s="4"/>
      <c r="G35" s="4"/>
      <c r="H35" s="4"/>
      <c r="I35" s="4"/>
      <c r="J35" s="4"/>
      <c r="K35" s="4"/>
    </row>
    <row r="36" customFormat="false" ht="15" hidden="false" customHeight="true" outlineLevel="0" collapsed="false">
      <c r="A36" s="4"/>
      <c r="B36" s="4"/>
      <c r="C36" s="4"/>
      <c r="D36" s="4"/>
      <c r="E36" s="4"/>
      <c r="F36" s="4"/>
      <c r="G36" s="4"/>
      <c r="H36" s="4"/>
      <c r="I36" s="4"/>
      <c r="J36" s="4"/>
      <c r="K36" s="4"/>
    </row>
    <row r="37" customFormat="false" ht="15" hidden="false" customHeight="true" outlineLevel="0" collapsed="false">
      <c r="A37" s="4"/>
      <c r="B37" s="4"/>
      <c r="C37" s="4"/>
      <c r="D37" s="4"/>
      <c r="E37" s="4"/>
      <c r="F37" s="4"/>
      <c r="G37" s="4"/>
      <c r="H37" s="4"/>
      <c r="I37" s="4"/>
      <c r="J37" s="4"/>
      <c r="K37" s="4"/>
    </row>
    <row r="38" customFormat="false" ht="15" hidden="false" customHeight="true" outlineLevel="0" collapsed="false">
      <c r="A38" s="4"/>
      <c r="B38" s="4"/>
      <c r="C38" s="4"/>
      <c r="D38" s="4"/>
      <c r="E38" s="4"/>
      <c r="F38" s="4"/>
      <c r="G38" s="4"/>
      <c r="H38" s="4"/>
      <c r="I38" s="4"/>
      <c r="J38" s="4"/>
      <c r="K38" s="4"/>
    </row>
    <row r="39" customFormat="false" ht="15" hidden="false" customHeight="true" outlineLevel="0" collapsed="false">
      <c r="A39" s="4"/>
      <c r="B39" s="4"/>
      <c r="C39" s="4"/>
      <c r="D39" s="4"/>
      <c r="E39" s="4"/>
      <c r="F39" s="4"/>
      <c r="G39" s="4"/>
      <c r="H39" s="4"/>
      <c r="I39" s="4"/>
      <c r="J39" s="4"/>
      <c r="K39" s="4"/>
    </row>
    <row r="40" customFormat="false" ht="15" hidden="false" customHeight="true" outlineLevel="0" collapsed="false">
      <c r="A40" s="4"/>
      <c r="B40" s="4"/>
      <c r="C40" s="4"/>
      <c r="D40" s="4"/>
      <c r="E40" s="4"/>
      <c r="F40" s="4"/>
      <c r="G40" s="4"/>
      <c r="H40" s="4"/>
      <c r="I40" s="4"/>
      <c r="J40" s="4"/>
      <c r="K40" s="4"/>
    </row>
    <row r="41" customFormat="false" ht="15" hidden="false" customHeight="true" outlineLevel="0" collapsed="false">
      <c r="A41" s="4"/>
      <c r="B41" s="4"/>
      <c r="C41" s="4"/>
      <c r="D41" s="4"/>
      <c r="E41" s="4"/>
      <c r="F41" s="4"/>
      <c r="G41" s="4"/>
      <c r="H41" s="4"/>
      <c r="I41" s="4"/>
      <c r="J41" s="4"/>
      <c r="K41" s="4"/>
    </row>
    <row r="42" customFormat="false" ht="15" hidden="false" customHeight="true" outlineLevel="0" collapsed="false">
      <c r="A42" s="4"/>
      <c r="B42" s="4"/>
      <c r="C42" s="4"/>
      <c r="D42" s="4"/>
      <c r="E42" s="4"/>
      <c r="F42" s="4"/>
      <c r="G42" s="4"/>
      <c r="H42" s="4"/>
      <c r="I42" s="4"/>
      <c r="J42" s="4"/>
      <c r="K42" s="4"/>
    </row>
    <row r="43" customFormat="false" ht="15" hidden="false" customHeight="true" outlineLevel="0" collapsed="false">
      <c r="A43" s="4"/>
      <c r="B43" s="4"/>
      <c r="C43" s="4"/>
      <c r="D43" s="4"/>
      <c r="E43" s="4"/>
      <c r="F43" s="4"/>
      <c r="G43" s="4"/>
      <c r="H43" s="4"/>
      <c r="I43" s="4"/>
      <c r="J43" s="4"/>
      <c r="K43" s="4"/>
    </row>
    <row r="44" customFormat="false" ht="15" hidden="false" customHeight="true" outlineLevel="0" collapsed="false">
      <c r="A44" s="4"/>
      <c r="B44" s="4"/>
      <c r="C44" s="4"/>
      <c r="D44" s="4"/>
      <c r="E44" s="4"/>
      <c r="F44" s="4"/>
      <c r="G44" s="4"/>
      <c r="H44" s="4"/>
      <c r="I44" s="4"/>
      <c r="J44" s="4"/>
      <c r="K44" s="4"/>
    </row>
    <row r="45" customFormat="false" ht="15" hidden="false" customHeight="true" outlineLevel="0" collapsed="false">
      <c r="A45" s="4"/>
      <c r="B45" s="4"/>
      <c r="C45" s="4"/>
      <c r="D45" s="4"/>
      <c r="E45" s="4"/>
      <c r="F45" s="4"/>
      <c r="G45" s="4"/>
      <c r="H45" s="4"/>
      <c r="I45" s="4"/>
      <c r="J45" s="4"/>
      <c r="K45" s="4"/>
    </row>
    <row r="46" customFormat="false" ht="15" hidden="false" customHeight="true" outlineLevel="0" collapsed="false">
      <c r="A46" s="4"/>
      <c r="B46" s="4"/>
      <c r="C46" s="4"/>
      <c r="D46" s="4"/>
      <c r="E46" s="4"/>
      <c r="F46" s="4"/>
      <c r="G46" s="4"/>
      <c r="H46" s="4"/>
      <c r="I46" s="4"/>
      <c r="J46" s="4"/>
      <c r="K46" s="4"/>
    </row>
    <row r="47" customFormat="false" ht="15" hidden="false" customHeight="true" outlineLevel="0" collapsed="false">
      <c r="A47" s="4"/>
      <c r="B47" s="4"/>
      <c r="C47" s="4"/>
      <c r="D47" s="4"/>
      <c r="E47" s="4"/>
      <c r="F47" s="4"/>
      <c r="G47" s="4"/>
      <c r="H47" s="4"/>
      <c r="I47" s="4"/>
      <c r="J47" s="4"/>
      <c r="K47" s="4"/>
    </row>
    <row r="48" customFormat="false" ht="15" hidden="false" customHeight="true" outlineLevel="0" collapsed="false">
      <c r="A48" s="4"/>
      <c r="B48" s="4"/>
      <c r="C48" s="4"/>
      <c r="D48" s="4"/>
      <c r="E48" s="4"/>
      <c r="F48" s="4"/>
      <c r="G48" s="4"/>
      <c r="H48" s="4"/>
      <c r="I48" s="4"/>
      <c r="J48" s="4"/>
      <c r="K48" s="4"/>
    </row>
    <row r="49" customFormat="false" ht="15" hidden="false" customHeight="true" outlineLevel="0" collapsed="false">
      <c r="A49" s="4"/>
      <c r="B49" s="4"/>
      <c r="C49" s="4"/>
      <c r="D49" s="4"/>
      <c r="E49" s="4"/>
      <c r="F49" s="4"/>
      <c r="G49" s="4"/>
      <c r="H49" s="4"/>
      <c r="I49" s="4"/>
      <c r="J49" s="4"/>
      <c r="K49" s="4"/>
    </row>
    <row r="50" customFormat="false" ht="15" hidden="false" customHeight="true" outlineLevel="0" collapsed="false">
      <c r="A50" s="4"/>
      <c r="B50" s="4"/>
      <c r="C50" s="4"/>
      <c r="D50" s="4"/>
      <c r="E50" s="4"/>
      <c r="F50" s="4"/>
      <c r="G50" s="4"/>
      <c r="H50" s="4"/>
      <c r="I50" s="4"/>
      <c r="J50" s="4"/>
      <c r="K50" s="4"/>
    </row>
    <row r="51" customFormat="false" ht="15" hidden="false" customHeight="true" outlineLevel="0" collapsed="false">
      <c r="A51" s="4"/>
      <c r="B51" s="4"/>
      <c r="C51" s="4"/>
      <c r="D51" s="4"/>
      <c r="E51" s="4"/>
      <c r="F51" s="4"/>
      <c r="G51" s="4"/>
      <c r="H51" s="4"/>
      <c r="I51" s="4"/>
      <c r="J51" s="4"/>
      <c r="K51" s="4"/>
    </row>
    <row r="52" customFormat="false" ht="15" hidden="false" customHeight="true" outlineLevel="0" collapsed="false">
      <c r="A52" s="4"/>
      <c r="B52" s="4"/>
      <c r="C52" s="4"/>
      <c r="D52" s="4"/>
      <c r="E52" s="4"/>
      <c r="F52" s="4"/>
      <c r="G52" s="4"/>
      <c r="H52" s="4"/>
      <c r="I52" s="4"/>
      <c r="J52" s="4"/>
      <c r="K52" s="4"/>
    </row>
    <row r="53" customFormat="false" ht="15" hidden="false" customHeight="true" outlineLevel="0" collapsed="false">
      <c r="A53" s="4"/>
      <c r="B53" s="4"/>
      <c r="C53" s="4"/>
      <c r="D53" s="4"/>
      <c r="E53" s="4"/>
      <c r="F53" s="4"/>
      <c r="G53" s="4"/>
      <c r="H53" s="4"/>
      <c r="I53" s="4"/>
      <c r="J53" s="4"/>
      <c r="K53" s="4"/>
    </row>
    <row r="54" customFormat="false" ht="15" hidden="false" customHeight="true" outlineLevel="0" collapsed="false">
      <c r="A54" s="4"/>
      <c r="B54" s="4"/>
      <c r="C54" s="4"/>
      <c r="D54" s="4"/>
      <c r="E54" s="4"/>
      <c r="F54" s="4"/>
      <c r="G54" s="4"/>
      <c r="H54" s="4"/>
      <c r="I54" s="4"/>
      <c r="J54" s="4"/>
      <c r="K54" s="4"/>
    </row>
    <row r="55" customFormat="false" ht="15" hidden="false" customHeight="true" outlineLevel="0" collapsed="false">
      <c r="A55" s="4"/>
      <c r="B55" s="4"/>
      <c r="C55" s="4"/>
      <c r="D55" s="4"/>
      <c r="E55" s="4"/>
      <c r="F55" s="4"/>
      <c r="G55" s="4"/>
      <c r="H55" s="4"/>
      <c r="I55" s="4"/>
      <c r="J55" s="4"/>
      <c r="K55" s="4"/>
    </row>
    <row r="56" customFormat="false" ht="15" hidden="false" customHeight="true" outlineLevel="0" collapsed="false">
      <c r="A56" s="4"/>
      <c r="B56" s="4"/>
      <c r="C56" s="4"/>
      <c r="D56" s="4"/>
      <c r="E56" s="4"/>
      <c r="F56" s="4"/>
      <c r="G56" s="4"/>
      <c r="H56" s="4"/>
      <c r="I56" s="4"/>
      <c r="J56" s="4"/>
      <c r="K56" s="4"/>
    </row>
    <row r="57" customFormat="false" ht="15" hidden="false" customHeight="true" outlineLevel="0" collapsed="false">
      <c r="A57" s="4"/>
      <c r="B57" s="4"/>
      <c r="C57" s="4"/>
      <c r="D57" s="4"/>
      <c r="E57" s="4"/>
      <c r="F57" s="4"/>
      <c r="G57" s="4"/>
      <c r="H57" s="4"/>
      <c r="I57" s="4"/>
      <c r="J57" s="4"/>
      <c r="K57" s="4"/>
    </row>
    <row r="58" customFormat="false" ht="15" hidden="false" customHeight="true" outlineLevel="0" collapsed="false">
      <c r="A58" s="4"/>
      <c r="B58" s="4"/>
      <c r="C58" s="4"/>
      <c r="D58" s="4"/>
      <c r="E58" s="4"/>
      <c r="F58" s="4"/>
      <c r="G58" s="4"/>
      <c r="H58" s="4"/>
      <c r="I58" s="4"/>
      <c r="J58" s="4"/>
      <c r="K58" s="4"/>
    </row>
    <row r="59" customFormat="false" ht="15" hidden="false" customHeight="true" outlineLevel="0" collapsed="false">
      <c r="A59" s="4"/>
      <c r="B59" s="4"/>
      <c r="C59" s="4"/>
      <c r="D59" s="4"/>
      <c r="E59" s="4"/>
      <c r="F59" s="4"/>
      <c r="G59" s="4"/>
      <c r="H59" s="4"/>
      <c r="I59" s="4"/>
      <c r="J59" s="4"/>
      <c r="K59" s="4"/>
    </row>
    <row r="60" customFormat="false" ht="15" hidden="false" customHeight="true" outlineLevel="0" collapsed="false">
      <c r="A60" s="4"/>
      <c r="B60" s="4"/>
      <c r="C60" s="4"/>
      <c r="D60" s="4"/>
      <c r="E60" s="4"/>
      <c r="F60" s="4"/>
      <c r="G60" s="4"/>
      <c r="H60" s="4"/>
      <c r="I60" s="4"/>
      <c r="J60" s="4"/>
      <c r="K60" s="4"/>
    </row>
    <row r="61" customFormat="false" ht="15" hidden="false" customHeight="true" outlineLevel="0" collapsed="false">
      <c r="A61" s="4"/>
      <c r="B61" s="4"/>
      <c r="C61" s="4"/>
      <c r="D61" s="4"/>
      <c r="E61" s="4"/>
      <c r="F61" s="4"/>
      <c r="G61" s="4"/>
      <c r="H61" s="4"/>
      <c r="I61" s="4"/>
      <c r="J61" s="4"/>
      <c r="K61" s="4"/>
    </row>
    <row r="62" customFormat="false" ht="15" hidden="false" customHeight="true" outlineLevel="0" collapsed="false">
      <c r="A62" s="4"/>
      <c r="B62" s="4"/>
      <c r="C62" s="4"/>
      <c r="D62" s="4"/>
      <c r="E62" s="4"/>
      <c r="F62" s="4"/>
      <c r="G62" s="4"/>
      <c r="H62" s="4"/>
      <c r="I62" s="4"/>
      <c r="J62" s="4"/>
      <c r="K62" s="4"/>
    </row>
    <row r="63" customFormat="false" ht="15" hidden="false" customHeight="true" outlineLevel="0" collapsed="false">
      <c r="A63" s="4"/>
      <c r="B63" s="4"/>
      <c r="C63" s="4"/>
      <c r="D63" s="4"/>
      <c r="E63" s="4"/>
      <c r="F63" s="4"/>
      <c r="G63" s="4"/>
      <c r="H63" s="4"/>
      <c r="I63" s="4"/>
      <c r="J63" s="4"/>
      <c r="K63" s="4"/>
    </row>
    <row r="64" customFormat="false" ht="15" hidden="false" customHeight="true" outlineLevel="0" collapsed="false">
      <c r="A64" s="4"/>
      <c r="B64" s="4"/>
      <c r="C64" s="4"/>
      <c r="D64" s="4"/>
      <c r="E64" s="4"/>
      <c r="F64" s="4"/>
      <c r="G64" s="4"/>
      <c r="H64" s="4"/>
      <c r="I64" s="4"/>
      <c r="J64" s="4"/>
      <c r="K64" s="4"/>
    </row>
    <row r="65" customFormat="false" ht="15" hidden="false" customHeight="true" outlineLevel="0" collapsed="false">
      <c r="A65" s="4"/>
      <c r="B65" s="4"/>
      <c r="C65" s="4"/>
      <c r="D65" s="4"/>
      <c r="E65" s="4"/>
      <c r="F65" s="4"/>
      <c r="G65" s="4"/>
      <c r="H65" s="4"/>
      <c r="I65" s="4"/>
      <c r="J65" s="4"/>
      <c r="K65" s="4"/>
    </row>
    <row r="66" customFormat="false" ht="15" hidden="false" customHeight="true" outlineLevel="0" collapsed="false">
      <c r="A66" s="4"/>
      <c r="B66" s="4"/>
      <c r="C66" s="4"/>
      <c r="D66" s="4"/>
      <c r="E66" s="4"/>
      <c r="F66" s="4"/>
      <c r="G66" s="4"/>
      <c r="H66" s="4"/>
      <c r="I66" s="4"/>
      <c r="J66" s="4"/>
      <c r="K66" s="4"/>
    </row>
    <row r="67" customFormat="false" ht="15" hidden="false" customHeight="true" outlineLevel="0" collapsed="false">
      <c r="A67" s="4"/>
      <c r="B67" s="4"/>
      <c r="C67" s="4"/>
      <c r="D67" s="4"/>
      <c r="E67" s="4"/>
      <c r="F67" s="4"/>
      <c r="G67" s="4"/>
      <c r="H67" s="4"/>
      <c r="I67" s="4"/>
      <c r="J67" s="4"/>
      <c r="K67" s="4"/>
    </row>
    <row r="68" customFormat="false" ht="15" hidden="false" customHeight="true" outlineLevel="0" collapsed="false">
      <c r="A68" s="4"/>
      <c r="B68" s="4"/>
      <c r="C68" s="4"/>
      <c r="D68" s="4"/>
      <c r="E68" s="4"/>
      <c r="F68" s="4"/>
      <c r="G68" s="4"/>
      <c r="H68" s="4"/>
      <c r="I68" s="4"/>
      <c r="J68" s="4"/>
      <c r="K68" s="4"/>
    </row>
    <row r="69" customFormat="false" ht="15" hidden="false" customHeight="true" outlineLevel="0" collapsed="false">
      <c r="A69" s="4"/>
      <c r="B69" s="4"/>
      <c r="C69" s="4"/>
      <c r="D69" s="4"/>
      <c r="E69" s="4"/>
      <c r="F69" s="4"/>
      <c r="G69" s="4"/>
      <c r="H69" s="4"/>
      <c r="I69" s="4"/>
      <c r="J69" s="4"/>
      <c r="K69" s="4"/>
    </row>
    <row r="70" customFormat="false" ht="15" hidden="false" customHeight="true" outlineLevel="0" collapsed="false">
      <c r="A70" s="4"/>
      <c r="B70" s="4"/>
      <c r="C70" s="4"/>
      <c r="D70" s="4"/>
      <c r="E70" s="4"/>
      <c r="F70" s="4"/>
      <c r="G70" s="4"/>
      <c r="H70" s="4"/>
      <c r="I70" s="4"/>
      <c r="J70" s="4"/>
      <c r="K70" s="4"/>
    </row>
    <row r="71" customFormat="false" ht="15" hidden="false" customHeight="true" outlineLevel="0" collapsed="false">
      <c r="A71" s="4"/>
      <c r="B71" s="4"/>
      <c r="C71" s="4"/>
      <c r="D71" s="4"/>
      <c r="E71" s="4"/>
      <c r="F71" s="4"/>
      <c r="G71" s="4"/>
      <c r="H71" s="4"/>
      <c r="I71" s="4"/>
      <c r="J71" s="4"/>
      <c r="K71" s="4"/>
    </row>
    <row r="72" customFormat="false" ht="15" hidden="false" customHeight="true" outlineLevel="0" collapsed="false">
      <c r="A72" s="4"/>
      <c r="B72" s="4"/>
      <c r="C72" s="4"/>
      <c r="D72" s="4"/>
      <c r="E72" s="4"/>
      <c r="F72" s="4"/>
      <c r="G72" s="4"/>
      <c r="H72" s="4"/>
      <c r="I72" s="4"/>
      <c r="J72" s="4"/>
      <c r="K72" s="4"/>
    </row>
    <row r="73" customFormat="false" ht="15" hidden="false" customHeight="true" outlineLevel="0" collapsed="false">
      <c r="A73" s="4"/>
      <c r="B73" s="4"/>
      <c r="C73" s="4"/>
      <c r="D73" s="4"/>
      <c r="E73" s="4"/>
      <c r="F73" s="4"/>
      <c r="G73" s="4"/>
      <c r="H73" s="4"/>
      <c r="I73" s="4"/>
      <c r="J73" s="4"/>
      <c r="K73" s="4"/>
    </row>
    <row r="74" customFormat="false" ht="15" hidden="false" customHeight="true" outlineLevel="0" collapsed="false">
      <c r="A74" s="4"/>
      <c r="B74" s="4"/>
      <c r="C74" s="4"/>
      <c r="D74" s="4"/>
      <c r="E74" s="4"/>
      <c r="F74" s="4"/>
      <c r="G74" s="4"/>
      <c r="H74" s="4"/>
      <c r="I74" s="4"/>
      <c r="J74" s="4"/>
      <c r="K74" s="4"/>
    </row>
    <row r="75" customFormat="false" ht="15" hidden="false" customHeight="true" outlineLevel="0" collapsed="false">
      <c r="A75" s="4"/>
      <c r="B75" s="4"/>
      <c r="C75" s="4"/>
      <c r="D75" s="4"/>
      <c r="E75" s="4"/>
      <c r="F75" s="4"/>
      <c r="G75" s="4"/>
      <c r="H75" s="4"/>
      <c r="I75" s="4"/>
      <c r="J75" s="4"/>
      <c r="K75" s="4"/>
    </row>
    <row r="76" customFormat="false" ht="15" hidden="false" customHeight="true" outlineLevel="0" collapsed="false">
      <c r="A76" s="4"/>
      <c r="B76" s="4"/>
      <c r="C76" s="4"/>
      <c r="D76" s="4"/>
      <c r="E76" s="4"/>
      <c r="F76" s="4"/>
      <c r="G76" s="4"/>
      <c r="H76" s="4"/>
      <c r="I76" s="4"/>
      <c r="J76" s="4"/>
      <c r="K76" s="4"/>
    </row>
    <row r="77" customFormat="false" ht="15" hidden="false" customHeight="true" outlineLevel="0" collapsed="false">
      <c r="A77" s="4"/>
      <c r="B77" s="4"/>
      <c r="C77" s="4"/>
      <c r="D77" s="4"/>
      <c r="E77" s="4"/>
      <c r="F77" s="4"/>
      <c r="G77" s="4"/>
      <c r="H77" s="4"/>
      <c r="I77" s="4"/>
      <c r="J77" s="4"/>
      <c r="K77" s="4"/>
    </row>
    <row r="78" customFormat="false" ht="15" hidden="false" customHeight="true" outlineLevel="0" collapsed="false">
      <c r="A78" s="4"/>
      <c r="B78" s="4"/>
      <c r="C78" s="4"/>
      <c r="D78" s="4"/>
      <c r="E78" s="4"/>
      <c r="F78" s="4"/>
      <c r="G78" s="4"/>
      <c r="H78" s="4"/>
      <c r="I78" s="4"/>
      <c r="J78" s="4"/>
      <c r="K78" s="4"/>
    </row>
    <row r="79" customFormat="false" ht="15" hidden="false" customHeight="true" outlineLevel="0" collapsed="false">
      <c r="A79" s="4"/>
      <c r="B79" s="4"/>
      <c r="C79" s="4"/>
      <c r="D79" s="4"/>
      <c r="E79" s="4"/>
      <c r="F79" s="4"/>
      <c r="G79" s="4"/>
      <c r="H79" s="4"/>
      <c r="I79" s="4"/>
      <c r="J79" s="4"/>
      <c r="K79" s="4"/>
    </row>
    <row r="80" customFormat="false" ht="15" hidden="false" customHeight="true" outlineLevel="0" collapsed="false">
      <c r="A80" s="4"/>
      <c r="B80" s="4"/>
      <c r="C80" s="4"/>
      <c r="D80" s="4"/>
      <c r="E80" s="4"/>
      <c r="F80" s="4"/>
      <c r="G80" s="4"/>
      <c r="H80" s="4"/>
      <c r="I80" s="4"/>
      <c r="J80" s="4"/>
      <c r="K80" s="4"/>
    </row>
    <row r="81" customFormat="false" ht="15" hidden="false" customHeight="true" outlineLevel="0" collapsed="false">
      <c r="A81" s="4"/>
      <c r="B81" s="4"/>
      <c r="C81" s="4"/>
      <c r="D81" s="4"/>
      <c r="E81" s="4"/>
      <c r="F81" s="4"/>
      <c r="G81" s="4"/>
      <c r="H81" s="4"/>
      <c r="I81" s="4"/>
      <c r="J81" s="4"/>
      <c r="K81" s="4"/>
    </row>
    <row r="82" customFormat="false" ht="15" hidden="false" customHeight="true" outlineLevel="0" collapsed="false">
      <c r="A82" s="4"/>
      <c r="B82" s="4"/>
      <c r="C82" s="4"/>
      <c r="D82" s="4"/>
      <c r="E82" s="4"/>
      <c r="F82" s="4"/>
      <c r="G82" s="4"/>
      <c r="H82" s="4"/>
      <c r="I82" s="4"/>
      <c r="J82" s="4"/>
      <c r="K82" s="4"/>
    </row>
    <row r="83" customFormat="false" ht="15" hidden="false" customHeight="true" outlineLevel="0" collapsed="false">
      <c r="A83" s="4"/>
      <c r="B83" s="4"/>
      <c r="C83" s="4"/>
      <c r="D83" s="4"/>
      <c r="E83" s="4"/>
      <c r="F83" s="4"/>
      <c r="G83" s="4"/>
      <c r="H83" s="4"/>
      <c r="I83" s="4"/>
      <c r="J83" s="4"/>
      <c r="K83" s="4"/>
    </row>
    <row r="84" customFormat="false" ht="15" hidden="false" customHeight="true" outlineLevel="0" collapsed="false">
      <c r="A84" s="4"/>
      <c r="B84" s="4"/>
      <c r="C84" s="4"/>
      <c r="D84" s="4"/>
      <c r="E84" s="4"/>
      <c r="F84" s="4"/>
      <c r="G84" s="4"/>
      <c r="H84" s="4"/>
      <c r="I84" s="4"/>
      <c r="J84" s="4"/>
      <c r="K84" s="4"/>
    </row>
    <row r="85" customFormat="false" ht="15" hidden="false" customHeight="true" outlineLevel="0" collapsed="false">
      <c r="A85" s="4"/>
      <c r="B85" s="4"/>
      <c r="C85" s="4"/>
      <c r="D85" s="4"/>
      <c r="E85" s="4"/>
      <c r="F85" s="4"/>
      <c r="G85" s="4"/>
      <c r="H85" s="4"/>
      <c r="I85" s="4"/>
      <c r="J85" s="4"/>
      <c r="K85" s="4"/>
    </row>
    <row r="86" customFormat="false" ht="15" hidden="false" customHeight="true" outlineLevel="0" collapsed="false">
      <c r="A86" s="4"/>
      <c r="B86" s="4"/>
      <c r="C86" s="4"/>
      <c r="D86" s="4"/>
      <c r="E86" s="4"/>
      <c r="F86" s="4"/>
      <c r="G86" s="4"/>
      <c r="H86" s="4"/>
      <c r="I86" s="4"/>
      <c r="J86" s="4"/>
      <c r="K86" s="4"/>
    </row>
    <row r="87" customFormat="false" ht="15" hidden="false" customHeight="true" outlineLevel="0" collapsed="false">
      <c r="A87" s="4"/>
      <c r="B87" s="4"/>
      <c r="C87" s="4"/>
      <c r="D87" s="4"/>
      <c r="E87" s="4"/>
      <c r="F87" s="4"/>
      <c r="G87" s="4"/>
      <c r="H87" s="4"/>
      <c r="I87" s="4"/>
      <c r="J87" s="4"/>
      <c r="K87" s="4"/>
    </row>
    <row r="88" customFormat="false" ht="15" hidden="false" customHeight="true" outlineLevel="0" collapsed="false">
      <c r="A88" s="4"/>
      <c r="B88" s="4"/>
      <c r="C88" s="4"/>
      <c r="D88" s="4"/>
      <c r="E88" s="4"/>
      <c r="F88" s="4"/>
      <c r="G88" s="4"/>
      <c r="H88" s="4"/>
      <c r="I88" s="4"/>
      <c r="J88" s="4"/>
      <c r="K88" s="4"/>
    </row>
    <row r="89" customFormat="false" ht="15" hidden="false" customHeight="true" outlineLevel="0" collapsed="false">
      <c r="A89" s="4"/>
      <c r="B89" s="4"/>
      <c r="C89" s="4"/>
      <c r="D89" s="4"/>
      <c r="E89" s="4"/>
      <c r="F89" s="4"/>
      <c r="G89" s="4"/>
      <c r="H89" s="4"/>
      <c r="I89" s="4"/>
      <c r="J89" s="4"/>
      <c r="K89" s="4"/>
    </row>
    <row r="90" customFormat="false" ht="15" hidden="false" customHeight="true" outlineLevel="0" collapsed="false">
      <c r="A90" s="4"/>
      <c r="B90" s="4"/>
      <c r="C90" s="4"/>
      <c r="D90" s="4"/>
      <c r="E90" s="4"/>
      <c r="F90" s="4"/>
      <c r="G90" s="4"/>
      <c r="H90" s="4"/>
      <c r="I90" s="4"/>
      <c r="J90" s="4"/>
      <c r="K90" s="4"/>
    </row>
    <row r="91" customFormat="false" ht="15" hidden="false" customHeight="true" outlineLevel="0" collapsed="false">
      <c r="A91" s="4"/>
      <c r="B91" s="4"/>
      <c r="C91" s="4"/>
      <c r="D91" s="4"/>
      <c r="E91" s="4"/>
      <c r="F91" s="4"/>
      <c r="G91" s="4"/>
      <c r="H91" s="4"/>
      <c r="I91" s="4"/>
      <c r="J91" s="4"/>
      <c r="K91" s="4"/>
    </row>
    <row r="92" customFormat="false" ht="15" hidden="false" customHeight="true" outlineLevel="0" collapsed="false">
      <c r="A92" s="4"/>
      <c r="B92" s="4"/>
      <c r="C92" s="4"/>
      <c r="D92" s="4"/>
      <c r="E92" s="4"/>
      <c r="F92" s="4"/>
      <c r="G92" s="4"/>
      <c r="H92" s="4"/>
      <c r="I92" s="4"/>
      <c r="J92" s="4"/>
      <c r="K92" s="4"/>
    </row>
    <row r="93" customFormat="false" ht="15" hidden="false" customHeight="true" outlineLevel="0" collapsed="false">
      <c r="A93" s="4"/>
      <c r="B93" s="4"/>
      <c r="C93" s="4"/>
      <c r="D93" s="4"/>
      <c r="E93" s="4"/>
      <c r="F93" s="4"/>
      <c r="G93" s="4"/>
      <c r="H93" s="4"/>
      <c r="I93" s="4"/>
      <c r="J93" s="4"/>
      <c r="K93" s="4"/>
    </row>
    <row r="94" customFormat="false" ht="15" hidden="false" customHeight="true" outlineLevel="0" collapsed="false">
      <c r="A94" s="4"/>
      <c r="B94" s="4"/>
      <c r="C94" s="4"/>
      <c r="D94" s="4"/>
      <c r="E94" s="4"/>
      <c r="F94" s="4"/>
      <c r="G94" s="4"/>
      <c r="H94" s="4"/>
      <c r="I94" s="4"/>
      <c r="J94" s="4"/>
      <c r="K94" s="4"/>
    </row>
    <row r="95" customFormat="false" ht="15" hidden="false" customHeight="true" outlineLevel="0" collapsed="false">
      <c r="A95" s="4"/>
      <c r="B95" s="4"/>
      <c r="C95" s="4"/>
      <c r="D95" s="4"/>
      <c r="E95" s="4"/>
      <c r="F95" s="4"/>
      <c r="G95" s="4"/>
      <c r="H95" s="4"/>
      <c r="I95" s="4"/>
      <c r="J95" s="4"/>
      <c r="K95" s="4"/>
    </row>
    <row r="96" customFormat="false" ht="15" hidden="false" customHeight="true" outlineLevel="0" collapsed="false">
      <c r="A96" s="4"/>
      <c r="B96" s="4"/>
      <c r="C96" s="4"/>
      <c r="D96" s="4"/>
      <c r="E96" s="4"/>
      <c r="F96" s="4"/>
      <c r="G96" s="4"/>
      <c r="H96" s="4"/>
      <c r="I96" s="4"/>
      <c r="J96" s="4"/>
      <c r="K96" s="4"/>
    </row>
    <row r="97" customFormat="false" ht="15" hidden="false" customHeight="true" outlineLevel="0" collapsed="false">
      <c r="A97" s="4"/>
      <c r="B97" s="4"/>
      <c r="C97" s="4"/>
      <c r="D97" s="4"/>
      <c r="E97" s="4"/>
      <c r="F97" s="4"/>
      <c r="G97" s="4"/>
      <c r="H97" s="4"/>
      <c r="I97" s="4"/>
      <c r="J97" s="4"/>
      <c r="K97" s="4"/>
    </row>
    <row r="98" customFormat="false" ht="15" hidden="false" customHeight="true" outlineLevel="0" collapsed="false">
      <c r="A98" s="4"/>
      <c r="B98" s="4"/>
      <c r="C98" s="4"/>
      <c r="D98" s="4"/>
      <c r="E98" s="4"/>
      <c r="F98" s="4"/>
      <c r="G98" s="4"/>
      <c r="H98" s="4"/>
      <c r="I98" s="4"/>
      <c r="J98" s="4"/>
      <c r="K98" s="4"/>
    </row>
    <row r="99" customFormat="false" ht="15" hidden="false" customHeight="true" outlineLevel="0" collapsed="false">
      <c r="A99" s="4"/>
      <c r="B99" s="4"/>
      <c r="C99" s="4"/>
      <c r="D99" s="4"/>
      <c r="E99" s="4"/>
      <c r="F99" s="4"/>
      <c r="G99" s="4"/>
      <c r="H99" s="4"/>
      <c r="I99" s="4"/>
      <c r="J99" s="4"/>
      <c r="K99" s="4"/>
    </row>
    <row r="100" customFormat="false" ht="15" hidden="false" customHeight="true" outlineLevel="0" collapsed="false">
      <c r="A100" s="4"/>
      <c r="B100" s="4"/>
      <c r="C100" s="4"/>
      <c r="D100" s="4"/>
      <c r="E100" s="4"/>
      <c r="F100" s="4"/>
      <c r="G100" s="4"/>
      <c r="H100" s="4"/>
      <c r="I100" s="4"/>
      <c r="J100" s="4"/>
      <c r="K100" s="4"/>
    </row>
  </sheetData>
  <mergeCells count="1">
    <mergeCell ref="A1:F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4"/>
    <col collapsed="false" customWidth="true" hidden="false" outlineLevel="0" max="6" min="2" style="17" width="16"/>
    <col collapsed="false" customWidth="true" hidden="false" outlineLevel="0" max="7" min="7" style="17" width="62"/>
  </cols>
  <sheetData>
    <row r="1" customFormat="false" ht="17.25" hidden="false" customHeight="true" outlineLevel="0" collapsed="false">
      <c r="A1" s="182" t="s">
        <v>1749</v>
      </c>
      <c r="B1" s="182"/>
      <c r="C1" s="182"/>
      <c r="D1" s="182"/>
      <c r="E1" s="182"/>
      <c r="F1" s="182"/>
      <c r="G1" s="182"/>
    </row>
    <row r="2" customFormat="false" ht="15" hidden="false" customHeight="true" outlineLevel="0" collapsed="false">
      <c r="A2" s="48" t="s">
        <v>1750</v>
      </c>
      <c r="B2" s="48"/>
      <c r="C2" s="48"/>
      <c r="D2" s="48"/>
      <c r="E2" s="48"/>
      <c r="F2" s="48"/>
      <c r="G2" s="48"/>
    </row>
    <row r="3" customFormat="false" ht="15" hidden="false" customHeight="true" outlineLevel="0" collapsed="false">
      <c r="A3" s="4"/>
      <c r="B3" s="4"/>
      <c r="C3" s="4"/>
      <c r="D3" s="4"/>
      <c r="E3" s="4"/>
      <c r="F3" s="4"/>
      <c r="G3" s="4"/>
    </row>
    <row r="4" customFormat="false" ht="23.25" hidden="false" customHeight="true" outlineLevel="0" collapsed="false">
      <c r="A4" s="37" t="s">
        <v>1751</v>
      </c>
      <c r="B4" s="37" t="s">
        <v>1752</v>
      </c>
      <c r="C4" s="37" t="s">
        <v>1753</v>
      </c>
      <c r="D4" s="37" t="s">
        <v>1754</v>
      </c>
      <c r="E4" s="37" t="s">
        <v>211</v>
      </c>
      <c r="F4" s="37" t="s">
        <v>212</v>
      </c>
      <c r="G4" s="37" t="s">
        <v>187</v>
      </c>
    </row>
    <row r="5" customFormat="false" ht="23.25" hidden="false" customHeight="true" outlineLevel="0" collapsed="false">
      <c r="A5" s="4" t="s">
        <v>1755</v>
      </c>
      <c r="B5" s="183" t="n">
        <v>11556.136</v>
      </c>
      <c r="C5" s="43" t="n">
        <v>0.85</v>
      </c>
      <c r="D5" s="184" t="n">
        <f aca="false">B5*C5*C6</f>
        <v>3437.95046</v>
      </c>
      <c r="E5" s="178" t="n">
        <v>0.01</v>
      </c>
      <c r="F5" s="184" t="n">
        <f aca="false">D5*E5</f>
        <v>34.3795046</v>
      </c>
      <c r="G5" s="4" t="s">
        <v>1756</v>
      </c>
    </row>
    <row r="6" customFormat="false" ht="23.25" hidden="false" customHeight="true" outlineLevel="0" collapsed="false">
      <c r="A6" s="4" t="s">
        <v>1757</v>
      </c>
      <c r="B6" s="183"/>
      <c r="C6" s="43" t="n">
        <v>0.35</v>
      </c>
      <c r="D6" s="184" t="n">
        <f aca="false">D5</f>
        <v>3437.95046</v>
      </c>
      <c r="E6" s="178" t="n">
        <v>0.01</v>
      </c>
      <c r="F6" s="184" t="n">
        <f aca="false">0</f>
        <v>0</v>
      </c>
      <c r="G6" s="4" t="s">
        <v>1758</v>
      </c>
    </row>
    <row r="7" customFormat="false" ht="23.25" hidden="false" customHeight="true" outlineLevel="0" collapsed="false">
      <c r="A7" s="4" t="s">
        <v>1759</v>
      </c>
      <c r="B7" s="183" t="n">
        <v>5334</v>
      </c>
      <c r="C7" s="43" t="n">
        <v>0.25</v>
      </c>
      <c r="D7" s="184" t="n">
        <f aca="false">B7*C7</f>
        <v>1333.5</v>
      </c>
      <c r="E7" s="178" t="n">
        <v>0.01</v>
      </c>
      <c r="F7" s="184" t="n">
        <f aca="false">D7*E7</f>
        <v>13.335</v>
      </c>
      <c r="G7" s="4" t="s">
        <v>1760</v>
      </c>
    </row>
    <row r="8" customFormat="false" ht="23.25" hidden="false" customHeight="true" outlineLevel="0" collapsed="false">
      <c r="A8" s="4" t="s">
        <v>1761</v>
      </c>
      <c r="B8" s="183"/>
      <c r="C8" s="43" t="n">
        <v>0</v>
      </c>
      <c r="D8" s="184" t="n">
        <f aca="false">0</f>
        <v>0</v>
      </c>
      <c r="E8" s="178" t="n">
        <v>0.01</v>
      </c>
      <c r="F8" s="184" t="n">
        <f aca="false">0</f>
        <v>0</v>
      </c>
      <c r="G8" s="4" t="s">
        <v>1762</v>
      </c>
    </row>
    <row r="9" customFormat="false" ht="15" hidden="false" customHeight="true" outlineLevel="0" collapsed="false">
      <c r="A9" s="4"/>
      <c r="B9" s="4"/>
      <c r="C9" s="4"/>
      <c r="D9" s="184"/>
      <c r="E9" s="178"/>
      <c r="F9" s="184"/>
      <c r="G9" s="4"/>
    </row>
    <row r="10" customFormat="false" ht="15" hidden="false" customHeight="true" outlineLevel="0" collapsed="false">
      <c r="A10" s="185" t="s">
        <v>1763</v>
      </c>
      <c r="B10" s="185"/>
      <c r="C10" s="185"/>
      <c r="D10" s="186"/>
      <c r="E10" s="187"/>
      <c r="F10" s="186"/>
      <c r="G10" s="185"/>
    </row>
    <row r="11" customFormat="false" ht="15" hidden="false" customHeight="true" outlineLevel="0" collapsed="false">
      <c r="A11" s="4" t="s">
        <v>1764</v>
      </c>
      <c r="B11" s="4"/>
      <c r="C11" s="4"/>
      <c r="D11" s="184" t="n">
        <f aca="false">D5</f>
        <v>3437.95046</v>
      </c>
      <c r="E11" s="178"/>
      <c r="F11" s="184"/>
      <c r="G11" s="4" t="s">
        <v>1765</v>
      </c>
    </row>
    <row r="12" customFormat="false" ht="23.25" hidden="false" customHeight="true" outlineLevel="0" collapsed="false">
      <c r="A12" s="4" t="s">
        <v>1766</v>
      </c>
      <c r="B12" s="4"/>
      <c r="C12" s="4"/>
      <c r="D12" s="184" t="n">
        <f aca="false">D7</f>
        <v>1333.5</v>
      </c>
      <c r="E12" s="178"/>
      <c r="F12" s="184"/>
      <c r="G12" s="4" t="s">
        <v>1767</v>
      </c>
    </row>
    <row r="13" customFormat="false" ht="23.25" hidden="false" customHeight="true" outlineLevel="0" collapsed="false">
      <c r="A13" s="4" t="s">
        <v>1768</v>
      </c>
      <c r="B13" s="4"/>
      <c r="C13" s="4"/>
      <c r="D13" s="184" t="n">
        <f aca="false">SUM(D11:D12)</f>
        <v>4771.45046</v>
      </c>
      <c r="E13" s="178" t="n">
        <v>0.01</v>
      </c>
      <c r="F13" s="184" t="n">
        <f aca="false">D13*E13</f>
        <v>47.7145046</v>
      </c>
      <c r="G13" s="4" t="s">
        <v>1769</v>
      </c>
    </row>
    <row r="14" customFormat="false" ht="15" hidden="false" customHeight="true" outlineLevel="0" collapsed="false">
      <c r="A14" s="4"/>
      <c r="B14" s="4"/>
      <c r="C14" s="4"/>
      <c r="D14" s="179"/>
      <c r="E14" s="179"/>
      <c r="F14" s="179"/>
      <c r="G14" s="4"/>
    </row>
    <row r="15" customFormat="false" ht="15" hidden="false" customHeight="true" outlineLevel="0" collapsed="false">
      <c r="A15" s="185" t="s">
        <v>1770</v>
      </c>
      <c r="B15" s="185"/>
      <c r="C15" s="185"/>
      <c r="D15" s="188"/>
      <c r="E15" s="188"/>
      <c r="F15" s="188"/>
      <c r="G15" s="185"/>
    </row>
    <row r="16" customFormat="false" ht="23.25" hidden="false" customHeight="true" outlineLevel="0" collapsed="false">
      <c r="A16" s="37" t="s">
        <v>497</v>
      </c>
      <c r="B16" s="37" t="s">
        <v>1771</v>
      </c>
      <c r="C16" s="37" t="s">
        <v>1772</v>
      </c>
      <c r="D16" s="189" t="s">
        <v>1761</v>
      </c>
      <c r="E16" s="189" t="s">
        <v>1773</v>
      </c>
      <c r="F16" s="189" t="s">
        <v>212</v>
      </c>
      <c r="G16" s="37" t="s">
        <v>1774</v>
      </c>
    </row>
    <row r="17" customFormat="false" ht="15" hidden="false" customHeight="true" outlineLevel="0" collapsed="false">
      <c r="A17" s="4" t="s">
        <v>1775</v>
      </c>
      <c r="B17" s="43" t="n">
        <v>0.2</v>
      </c>
      <c r="C17" s="43" t="n">
        <v>0.15</v>
      </c>
      <c r="D17" s="178" t="n">
        <v>0</v>
      </c>
      <c r="E17" s="184" t="n">
        <f aca="false">$B$5*$C$5*B17+$B$7*C17</f>
        <v>2764.64312</v>
      </c>
      <c r="F17" s="184" t="n">
        <f aca="false">E17*$E$13</f>
        <v>27.6464312</v>
      </c>
      <c r="G17" s="4" t="s">
        <v>1776</v>
      </c>
    </row>
    <row r="18" customFormat="false" ht="15" hidden="false" customHeight="true" outlineLevel="0" collapsed="false">
      <c r="A18" s="4" t="s">
        <v>503</v>
      </c>
      <c r="B18" s="43" t="n">
        <v>0.35</v>
      </c>
      <c r="C18" s="43" t="n">
        <v>0.25</v>
      </c>
      <c r="D18" s="178" t="n">
        <v>0</v>
      </c>
      <c r="E18" s="184" t="n">
        <f aca="false">$B$5*$C$5*B18+$B$7*C18</f>
        <v>4771.45046</v>
      </c>
      <c r="F18" s="184" t="n">
        <f aca="false">E18*$E$13</f>
        <v>47.7145046</v>
      </c>
      <c r="G18" s="4" t="s">
        <v>1777</v>
      </c>
    </row>
    <row r="19" customFormat="false" ht="15" hidden="false" customHeight="true" outlineLevel="0" collapsed="false">
      <c r="A19" s="4" t="s">
        <v>1778</v>
      </c>
      <c r="B19" s="43" t="n">
        <v>0.5</v>
      </c>
      <c r="C19" s="43" t="n">
        <v>0.35</v>
      </c>
      <c r="D19" s="178" t="n">
        <v>0</v>
      </c>
      <c r="E19" s="184" t="n">
        <f aca="false">$B$5*$C$5*B19+$B$7*C19</f>
        <v>6778.2578</v>
      </c>
      <c r="F19" s="184" t="n">
        <f aca="false">E19*$E$13</f>
        <v>67.782578</v>
      </c>
      <c r="G19" s="4" t="s">
        <v>1779</v>
      </c>
    </row>
    <row r="20" customFormat="false" ht="15" hidden="false" customHeight="true" outlineLevel="0" collapsed="false">
      <c r="A20" s="4"/>
      <c r="B20" s="4"/>
      <c r="C20" s="4"/>
      <c r="D20" s="4"/>
      <c r="E20" s="4"/>
      <c r="F20" s="4"/>
      <c r="G20" s="4"/>
    </row>
    <row r="21" customFormat="false" ht="15" hidden="false" customHeight="true" outlineLevel="0" collapsed="false">
      <c r="A21" s="185" t="s">
        <v>1780</v>
      </c>
      <c r="B21" s="185"/>
      <c r="C21" s="185"/>
      <c r="D21" s="185"/>
      <c r="E21" s="185"/>
      <c r="F21" s="185"/>
      <c r="G21" s="185"/>
    </row>
    <row r="22" customFormat="false" ht="23.25" hidden="false" customHeight="true" outlineLevel="0" collapsed="false">
      <c r="A22" s="4" t="s">
        <v>1781</v>
      </c>
      <c r="B22" s="4"/>
      <c r="C22" s="4"/>
      <c r="D22" s="4"/>
      <c r="E22" s="4"/>
      <c r="F22" s="4"/>
      <c r="G22" s="4" t="s">
        <v>1782</v>
      </c>
    </row>
    <row r="23" customFormat="false" ht="23.25" hidden="false" customHeight="true" outlineLevel="0" collapsed="false">
      <c r="A23" s="4" t="s">
        <v>1783</v>
      </c>
      <c r="B23" s="4"/>
      <c r="C23" s="4"/>
      <c r="D23" s="4"/>
      <c r="E23" s="4"/>
      <c r="F23" s="4"/>
      <c r="G23" s="4" t="s">
        <v>1784</v>
      </c>
    </row>
    <row r="24" customFormat="false" ht="23.25" hidden="false" customHeight="true" outlineLevel="0" collapsed="false">
      <c r="A24" s="4" t="s">
        <v>1785</v>
      </c>
      <c r="B24" s="4"/>
      <c r="C24" s="4"/>
      <c r="D24" s="4"/>
      <c r="E24" s="4"/>
      <c r="F24" s="4"/>
      <c r="G24" s="4" t="s">
        <v>1786</v>
      </c>
    </row>
    <row r="25" customFormat="false" ht="34.5" hidden="false" customHeight="true" outlineLevel="0" collapsed="false">
      <c r="A25" s="4" t="s">
        <v>1787</v>
      </c>
      <c r="B25" s="4"/>
      <c r="C25" s="4"/>
      <c r="D25" s="4"/>
      <c r="E25" s="4"/>
      <c r="F25" s="4"/>
      <c r="G25" s="4" t="s">
        <v>1788</v>
      </c>
    </row>
    <row r="26" customFormat="false" ht="23.25" hidden="false" customHeight="true" outlineLevel="0" collapsed="false">
      <c r="A26" s="4" t="s">
        <v>1789</v>
      </c>
      <c r="B26" s="4"/>
      <c r="C26" s="4"/>
      <c r="D26" s="4"/>
      <c r="E26" s="4"/>
      <c r="F26" s="4"/>
      <c r="G26" s="4" t="s">
        <v>1790</v>
      </c>
    </row>
    <row r="27" customFormat="false" ht="34.5" hidden="false" customHeight="true" outlineLevel="0" collapsed="false">
      <c r="A27" s="4" t="s">
        <v>1791</v>
      </c>
      <c r="B27" s="4"/>
      <c r="C27" s="4"/>
      <c r="D27" s="4"/>
      <c r="E27" s="4"/>
      <c r="F27" s="4"/>
      <c r="G27" s="4" t="s">
        <v>1792</v>
      </c>
    </row>
    <row r="28" customFormat="false" ht="23.25" hidden="false" customHeight="true" outlineLevel="0" collapsed="false">
      <c r="A28" s="4" t="s">
        <v>1793</v>
      </c>
      <c r="B28" s="4"/>
      <c r="C28" s="4"/>
      <c r="D28" s="4"/>
      <c r="E28" s="4"/>
      <c r="F28" s="4"/>
      <c r="G28" s="4" t="s">
        <v>1794</v>
      </c>
    </row>
    <row r="29" customFormat="false" ht="23.25" hidden="false" customHeight="true" outlineLevel="0" collapsed="false">
      <c r="A29" s="4" t="s">
        <v>1795</v>
      </c>
      <c r="B29" s="4"/>
      <c r="C29" s="4"/>
      <c r="D29" s="4"/>
      <c r="E29" s="4"/>
      <c r="F29" s="4"/>
      <c r="G29" s="4" t="s">
        <v>1796</v>
      </c>
    </row>
  </sheetData>
  <mergeCells count="2">
    <mergeCell ref="A1:G1"/>
    <mergeCell ref="A2:G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4"/>
    <col collapsed="false" customWidth="true" hidden="false" outlineLevel="0" max="2" min="2" style="17" width="18"/>
    <col collapsed="false" customWidth="true" hidden="false" outlineLevel="0" max="4" min="3" style="17" width="22"/>
    <col collapsed="false" customWidth="true" hidden="false" outlineLevel="0" max="5" min="5" style="17" width="52"/>
  </cols>
  <sheetData>
    <row r="1" customFormat="false" ht="17.25" hidden="false" customHeight="true" outlineLevel="0" collapsed="false">
      <c r="A1" s="182" t="s">
        <v>1797</v>
      </c>
      <c r="B1" s="182"/>
      <c r="C1" s="182"/>
      <c r="D1" s="182"/>
      <c r="E1" s="182"/>
    </row>
    <row r="2" customFormat="false" ht="23.25" hidden="false" customHeight="true" outlineLevel="0" collapsed="false">
      <c r="A2" s="48" t="s">
        <v>1798</v>
      </c>
      <c r="B2" s="48"/>
      <c r="C2" s="48"/>
      <c r="D2" s="48"/>
      <c r="E2" s="48"/>
    </row>
    <row r="3" customFormat="false" ht="15" hidden="false" customHeight="true" outlineLevel="0" collapsed="false">
      <c r="A3" s="4"/>
      <c r="B3" s="4"/>
      <c r="C3" s="4"/>
      <c r="D3" s="4"/>
      <c r="E3" s="4"/>
    </row>
    <row r="4" customFormat="false" ht="23.25" hidden="false" customHeight="true" outlineLevel="0" collapsed="false">
      <c r="A4" s="37" t="s">
        <v>1799</v>
      </c>
      <c r="B4" s="37" t="s">
        <v>234</v>
      </c>
      <c r="C4" s="37" t="s">
        <v>1800</v>
      </c>
      <c r="D4" s="37" t="s">
        <v>1801</v>
      </c>
      <c r="E4" s="37" t="s">
        <v>827</v>
      </c>
    </row>
    <row r="5" customFormat="false" ht="15" hidden="false" customHeight="true" outlineLevel="0" collapsed="false">
      <c r="A5" s="4" t="s">
        <v>753</v>
      </c>
      <c r="B5" s="44" t="n">
        <f aca="false">Tax_Revenue_2024!D33</f>
        <v>5710.93123619</v>
      </c>
      <c r="C5" s="4" t="s">
        <v>1802</v>
      </c>
      <c r="D5" s="4" t="s">
        <v>1802</v>
      </c>
      <c r="E5" s="4" t="s">
        <v>1803</v>
      </c>
    </row>
    <row r="6" customFormat="false" ht="15" hidden="false" customHeight="true" outlineLevel="0" collapsed="false">
      <c r="A6" s="4" t="s">
        <v>14</v>
      </c>
      <c r="B6" s="44" t="n">
        <v>73.9595975475</v>
      </c>
      <c r="C6" s="4" t="s">
        <v>1802</v>
      </c>
      <c r="D6" s="4" t="s">
        <v>1804</v>
      </c>
      <c r="E6" s="4" t="s">
        <v>1805</v>
      </c>
    </row>
    <row r="7" customFormat="false" ht="15" hidden="false" customHeight="true" outlineLevel="0" collapsed="false">
      <c r="A7" s="4" t="s">
        <v>1806</v>
      </c>
      <c r="B7" s="44" t="n">
        <v>614.12273523</v>
      </c>
      <c r="C7" s="4" t="s">
        <v>1802</v>
      </c>
      <c r="D7" s="4" t="s">
        <v>1804</v>
      </c>
      <c r="E7" s="4" t="s">
        <v>1807</v>
      </c>
    </row>
    <row r="8" customFormat="false" ht="15" hidden="false" customHeight="true" outlineLevel="0" collapsed="false">
      <c r="A8" s="4" t="s">
        <v>1808</v>
      </c>
      <c r="B8" s="44" t="n">
        <v>362.26773</v>
      </c>
      <c r="C8" s="4" t="s">
        <v>1802</v>
      </c>
      <c r="D8" s="4" t="s">
        <v>1804</v>
      </c>
      <c r="E8" s="4" t="s">
        <v>1807</v>
      </c>
    </row>
    <row r="9" customFormat="false" ht="23.25" hidden="false" customHeight="true" outlineLevel="0" collapsed="false">
      <c r="A9" s="4" t="s">
        <v>1809</v>
      </c>
      <c r="B9" s="44" t="n">
        <v>52.40796418688</v>
      </c>
      <c r="C9" s="4" t="s">
        <v>1802</v>
      </c>
      <c r="D9" s="4" t="s">
        <v>1804</v>
      </c>
      <c r="E9" s="4" t="s">
        <v>1807</v>
      </c>
    </row>
    <row r="10" customFormat="false" ht="15" hidden="false" customHeight="true" outlineLevel="0" collapsed="false">
      <c r="A10" s="4" t="s">
        <v>1810</v>
      </c>
      <c r="B10" s="44" t="n">
        <f aca="false">NLA_Model!E23</f>
        <v>154.13732</v>
      </c>
      <c r="C10" s="4" t="s">
        <v>1802</v>
      </c>
      <c r="D10" s="4" t="s">
        <v>1804</v>
      </c>
      <c r="E10" s="4" t="s">
        <v>1811</v>
      </c>
    </row>
    <row r="11" customFormat="false" ht="15" hidden="false" customHeight="true" outlineLevel="0" collapsed="false">
      <c r="A11" s="4" t="s">
        <v>343</v>
      </c>
      <c r="B11" s="44" t="n">
        <v>12</v>
      </c>
      <c r="C11" s="4" t="s">
        <v>1802</v>
      </c>
      <c r="D11" s="4" t="s">
        <v>1804</v>
      </c>
      <c r="E11" s="4" t="s">
        <v>1024</v>
      </c>
    </row>
    <row r="12" customFormat="false" ht="15" hidden="false" customHeight="true" outlineLevel="0" collapsed="false">
      <c r="A12" s="4" t="s">
        <v>1812</v>
      </c>
      <c r="B12" s="44" t="n">
        <v>193.05</v>
      </c>
      <c r="C12" s="4" t="s">
        <v>1802</v>
      </c>
      <c r="D12" s="4" t="s">
        <v>1804</v>
      </c>
      <c r="E12" s="4" t="s">
        <v>1813</v>
      </c>
    </row>
    <row r="13" customFormat="false" ht="15" hidden="false" customHeight="true" outlineLevel="0" collapsed="false">
      <c r="A13" s="4" t="s">
        <v>10</v>
      </c>
      <c r="B13" s="44" t="n">
        <f aca="false">National_Continuity!D22</f>
        <v>559.289798548091</v>
      </c>
      <c r="C13" s="4" t="s">
        <v>1802</v>
      </c>
      <c r="D13" s="4" t="s">
        <v>1804</v>
      </c>
      <c r="E13" s="4" t="s">
        <v>1814</v>
      </c>
    </row>
    <row r="14" customFormat="false" ht="23.25" hidden="false" customHeight="true" outlineLevel="0" collapsed="false">
      <c r="A14" s="4" t="s">
        <v>543</v>
      </c>
      <c r="B14" s="44" t="n">
        <v>658</v>
      </c>
      <c r="C14" s="4" t="s">
        <v>1802</v>
      </c>
      <c r="D14" s="4" t="s">
        <v>1804</v>
      </c>
      <c r="E14" s="4" t="s">
        <v>1815</v>
      </c>
    </row>
    <row r="15" customFormat="false" ht="15" hidden="false" customHeight="true" outlineLevel="0" collapsed="false">
      <c r="A15" s="4" t="s">
        <v>1816</v>
      </c>
      <c r="B15" s="44" t="n">
        <v>82.5825</v>
      </c>
      <c r="C15" s="4" t="s">
        <v>1802</v>
      </c>
      <c r="D15" s="4" t="s">
        <v>1804</v>
      </c>
      <c r="E15" s="4" t="s">
        <v>1817</v>
      </c>
    </row>
    <row r="16" customFormat="false" ht="15" hidden="false" customHeight="true" outlineLevel="0" collapsed="false">
      <c r="A16" s="4" t="s">
        <v>339</v>
      </c>
      <c r="B16" s="44" t="n">
        <v>12</v>
      </c>
      <c r="C16" s="4" t="s">
        <v>1802</v>
      </c>
      <c r="D16" s="4" t="s">
        <v>1804</v>
      </c>
      <c r="E16" s="4" t="s">
        <v>1818</v>
      </c>
    </row>
    <row r="17" customFormat="false" ht="15" hidden="false" customHeight="true" outlineLevel="0" collapsed="false">
      <c r="A17" s="4" t="s">
        <v>270</v>
      </c>
      <c r="B17" s="44" t="n">
        <v>26.5</v>
      </c>
      <c r="C17" s="4" t="s">
        <v>1802</v>
      </c>
      <c r="D17" s="4" t="s">
        <v>1804</v>
      </c>
      <c r="E17" s="4" t="s">
        <v>1819</v>
      </c>
    </row>
    <row r="18" customFormat="false" ht="23.25" hidden="false" customHeight="true" outlineLevel="0" collapsed="false">
      <c r="A18" s="185" t="s">
        <v>1820</v>
      </c>
      <c r="B18" s="190" t="n">
        <v>585.44455</v>
      </c>
      <c r="C18" s="185" t="s">
        <v>1802</v>
      </c>
      <c r="D18" s="185" t="s">
        <v>1804</v>
      </c>
      <c r="E18" s="185" t="s">
        <v>1821</v>
      </c>
    </row>
    <row r="19" customFormat="false" ht="15" hidden="false" customHeight="true" outlineLevel="0" collapsed="false">
      <c r="A19" s="4" t="s">
        <v>833</v>
      </c>
      <c r="B19" s="44" t="n">
        <v>6</v>
      </c>
      <c r="C19" s="4" t="s">
        <v>1802</v>
      </c>
      <c r="D19" s="4" t="s">
        <v>1804</v>
      </c>
      <c r="E19" s="4" t="s">
        <v>1822</v>
      </c>
    </row>
    <row r="20" customFormat="false" ht="15" hidden="false" customHeight="true" outlineLevel="0" collapsed="false">
      <c r="A20" s="4" t="s">
        <v>1823</v>
      </c>
      <c r="B20" s="44" t="n">
        <v>742.3413269671</v>
      </c>
      <c r="C20" s="4" t="s">
        <v>1804</v>
      </c>
      <c r="D20" s="4" t="s">
        <v>1804</v>
      </c>
      <c r="E20" s="4" t="s">
        <v>1824</v>
      </c>
    </row>
    <row r="21" customFormat="false" ht="15" hidden="false" customHeight="true" outlineLevel="0" collapsed="false">
      <c r="A21" s="4" t="s">
        <v>534</v>
      </c>
      <c r="B21" s="44" t="n">
        <v>585.44455</v>
      </c>
      <c r="C21" s="4" t="s">
        <v>1804</v>
      </c>
      <c r="D21" s="4" t="s">
        <v>1804</v>
      </c>
      <c r="E21" s="4" t="s">
        <v>1825</v>
      </c>
    </row>
    <row r="22" customFormat="false" ht="15" hidden="false" customHeight="true" outlineLevel="0" collapsed="false">
      <c r="A22" s="4"/>
      <c r="B22" s="44"/>
      <c r="C22" s="4"/>
      <c r="D22" s="4"/>
      <c r="E22" s="4"/>
    </row>
    <row r="23" customFormat="false" ht="15" hidden="false" customHeight="true" outlineLevel="0" collapsed="false">
      <c r="A23" s="4" t="s">
        <v>1826</v>
      </c>
      <c r="B23" s="44"/>
      <c r="C23" s="4"/>
      <c r="D23" s="4"/>
      <c r="E23" s="4"/>
    </row>
    <row r="24" customFormat="false" ht="15" hidden="false" customHeight="true" outlineLevel="0" collapsed="false">
      <c r="A24" s="17" t="s">
        <v>799</v>
      </c>
      <c r="B24" s="123" t="n">
        <f aca="false">SUM(B5:B19)</f>
        <v>9102.69343170247</v>
      </c>
      <c r="E24" s="17" t="s">
        <v>1827</v>
      </c>
    </row>
    <row r="25" customFormat="false" ht="15" hidden="false" customHeight="true" outlineLevel="0" collapsed="false">
      <c r="A25" s="17" t="s">
        <v>801</v>
      </c>
      <c r="B25" s="123" t="n">
        <f aca="false">B5</f>
        <v>5710.93123619</v>
      </c>
      <c r="E25" s="17" t="s">
        <v>885</v>
      </c>
    </row>
    <row r="26" customFormat="false" ht="15" hidden="false" customHeight="true" outlineLevel="0" collapsed="false">
      <c r="A26" s="17" t="s">
        <v>1828</v>
      </c>
      <c r="B26" s="123" t="n">
        <f aca="false">B24-B25</f>
        <v>3391.76219551247</v>
      </c>
      <c r="E26" s="17" t="s">
        <v>1829</v>
      </c>
    </row>
    <row r="27" customFormat="false" ht="15" hidden="false" customHeight="true" outlineLevel="0" collapsed="false">
      <c r="A27" s="17" t="s">
        <v>1830</v>
      </c>
      <c r="B27" s="123" t="n">
        <f aca="false">SUM(B20:B21)</f>
        <v>1327.7858769671</v>
      </c>
      <c r="E27" s="17" t="s">
        <v>1831</v>
      </c>
    </row>
    <row r="28" customFormat="false" ht="15" hidden="false" customHeight="true" outlineLevel="0" collapsed="false">
      <c r="A28" s="17" t="s">
        <v>1832</v>
      </c>
      <c r="B28" s="123" t="n">
        <f aca="false">Deficit_Views!B46</f>
        <v>1079.53101585632</v>
      </c>
      <c r="E28" s="17" t="s">
        <v>1833</v>
      </c>
    </row>
    <row r="29" customFormat="false" ht="15" hidden="false" customHeight="true" outlineLevel="0" collapsed="false">
      <c r="B29" s="123"/>
    </row>
  </sheetData>
  <mergeCells count="2">
    <mergeCell ref="A1:E1"/>
    <mergeCell ref="A2:E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4"/>
    <col collapsed="false" customWidth="true" hidden="false" outlineLevel="0" max="5" min="2" style="17" width="18"/>
    <col collapsed="false" customWidth="true" hidden="false" outlineLevel="0" max="6" min="6" style="17" width="46"/>
  </cols>
  <sheetData>
    <row r="1" customFormat="false" ht="184.5" hidden="false" customHeight="true" outlineLevel="0" collapsed="false">
      <c r="A1" s="191" t="s">
        <v>1834</v>
      </c>
      <c r="B1" s="191"/>
      <c r="C1" s="191"/>
      <c r="D1" s="191"/>
      <c r="E1" s="191"/>
      <c r="F1" s="191"/>
    </row>
    <row r="2" customFormat="false" ht="312" hidden="false" customHeight="true" outlineLevel="0" collapsed="false">
      <c r="A2" s="192" t="s">
        <v>1835</v>
      </c>
      <c r="B2" s="192"/>
      <c r="C2" s="192"/>
      <c r="D2" s="192"/>
      <c r="E2" s="192"/>
      <c r="F2" s="192"/>
    </row>
    <row r="3" customFormat="false" ht="15" hidden="false" customHeight="true" outlineLevel="0" collapsed="false">
      <c r="A3" s="11"/>
      <c r="B3" s="11"/>
      <c r="C3" s="11"/>
      <c r="D3" s="11"/>
      <c r="E3" s="11"/>
      <c r="F3" s="11"/>
    </row>
    <row r="4" customFormat="false" ht="48" hidden="false" customHeight="true" outlineLevel="0" collapsed="false">
      <c r="A4" s="10" t="s">
        <v>1836</v>
      </c>
      <c r="B4" s="10" t="s">
        <v>1837</v>
      </c>
      <c r="C4" s="10" t="s">
        <v>1838</v>
      </c>
      <c r="D4" s="10" t="s">
        <v>1839</v>
      </c>
      <c r="E4" s="10" t="s">
        <v>1840</v>
      </c>
      <c r="F4" s="10" t="s">
        <v>1841</v>
      </c>
    </row>
    <row r="5" customFormat="false" ht="48" hidden="false" customHeight="true" outlineLevel="0" collapsed="false">
      <c r="A5" s="11" t="s">
        <v>1842</v>
      </c>
      <c r="B5" s="193" t="n">
        <v>361</v>
      </c>
      <c r="C5" s="194" t="n">
        <v>0.9</v>
      </c>
      <c r="D5" s="194" t="n">
        <v>0.45</v>
      </c>
      <c r="E5" s="194" t="n">
        <v>0.1</v>
      </c>
      <c r="F5" s="193" t="n">
        <f aca="false">B5*C5*D5*E5</f>
        <v>14.6205</v>
      </c>
    </row>
    <row r="6" customFormat="false" ht="84" hidden="false" customHeight="true" outlineLevel="0" collapsed="false">
      <c r="A6" s="11" t="s">
        <v>1843</v>
      </c>
      <c r="B6" s="193" t="n">
        <v>113.6</v>
      </c>
      <c r="C6" s="194" t="n">
        <v>0.9</v>
      </c>
      <c r="D6" s="194" t="n">
        <v>0.45</v>
      </c>
      <c r="E6" s="194" t="n">
        <v>0.1</v>
      </c>
      <c r="F6" s="193" t="n">
        <f aca="false">B6*C6*D6*E6</f>
        <v>4.6008</v>
      </c>
    </row>
    <row r="7" customFormat="false" ht="96" hidden="false" customHeight="true" outlineLevel="0" collapsed="false">
      <c r="A7" s="11" t="s">
        <v>1844</v>
      </c>
      <c r="B7" s="193" t="n">
        <v>379.1</v>
      </c>
      <c r="C7" s="194" t="n">
        <v>0</v>
      </c>
      <c r="D7" s="194" t="n">
        <v>0</v>
      </c>
      <c r="E7" s="194" t="n">
        <v>0.1</v>
      </c>
      <c r="F7" s="193" t="n">
        <v>0</v>
      </c>
    </row>
    <row r="8" customFormat="false" ht="36" hidden="false" customHeight="true" outlineLevel="0" collapsed="false">
      <c r="A8" s="11" t="s">
        <v>1845</v>
      </c>
      <c r="B8" s="193" t="n">
        <v>2.1</v>
      </c>
      <c r="C8" s="194" t="n">
        <v>0</v>
      </c>
      <c r="D8" s="194" t="n">
        <v>0</v>
      </c>
      <c r="E8" s="194" t="n">
        <v>0.1</v>
      </c>
      <c r="F8" s="193" t="n">
        <v>0</v>
      </c>
    </row>
    <row r="9" customFormat="false" ht="15" hidden="false" customHeight="true" outlineLevel="0" collapsed="false">
      <c r="A9" s="11"/>
      <c r="B9" s="193"/>
      <c r="C9" s="194"/>
      <c r="D9" s="194"/>
      <c r="E9" s="194"/>
      <c r="F9" s="193"/>
    </row>
    <row r="10" customFormat="false" ht="36" hidden="false" customHeight="true" outlineLevel="0" collapsed="false">
      <c r="A10" s="11" t="s">
        <v>1846</v>
      </c>
      <c r="B10" s="193" t="n">
        <f aca="false">SUM(B5:B6)</f>
        <v>474.6</v>
      </c>
      <c r="C10" s="194" t="n">
        <f aca="false">AVERAGE(C5:C6)</f>
        <v>0.9</v>
      </c>
      <c r="D10" s="194" t="n">
        <f aca="false">AVERAGE(D5:D6)</f>
        <v>0.45</v>
      </c>
      <c r="E10" s="194" t="n">
        <v>0.1</v>
      </c>
      <c r="F10" s="193" t="n">
        <f aca="false">SUM(F5:F6)</f>
        <v>19.2213</v>
      </c>
    </row>
    <row r="11" customFormat="false" ht="15" hidden="false" customHeight="true" outlineLevel="0" collapsed="false">
      <c r="A11" s="11"/>
      <c r="B11" s="11"/>
      <c r="C11" s="11"/>
      <c r="D11" s="11"/>
      <c r="E11" s="11"/>
      <c r="F11" s="193"/>
    </row>
    <row r="12" customFormat="false" ht="36" hidden="false" customHeight="true" outlineLevel="0" collapsed="false">
      <c r="A12" s="11" t="s">
        <v>1847</v>
      </c>
      <c r="B12" s="11"/>
      <c r="C12" s="11"/>
      <c r="D12" s="11"/>
      <c r="E12" s="11"/>
      <c r="F12" s="193" t="n">
        <v>19.2</v>
      </c>
    </row>
    <row r="13" customFormat="false" ht="15" hidden="false" customHeight="true" outlineLevel="0" collapsed="false">
      <c r="A13" s="11"/>
      <c r="B13" s="11"/>
      <c r="C13" s="11"/>
      <c r="D13" s="11"/>
      <c r="E13" s="11"/>
      <c r="F13" s="11"/>
    </row>
    <row r="14" customFormat="false" ht="192" hidden="false" customHeight="true" outlineLevel="0" collapsed="false">
      <c r="A14" s="11" t="s">
        <v>1848</v>
      </c>
      <c r="B14" s="11"/>
      <c r="C14" s="11"/>
      <c r="D14" s="11"/>
      <c r="E14" s="11"/>
      <c r="F14" s="11" t="s">
        <v>1849</v>
      </c>
    </row>
    <row r="15" customFormat="false" ht="168" hidden="false" customHeight="true" outlineLevel="0" collapsed="false">
      <c r="A15" s="11" t="s">
        <v>1850</v>
      </c>
      <c r="B15" s="11"/>
      <c r="C15" s="11"/>
      <c r="D15" s="11"/>
      <c r="E15" s="11"/>
      <c r="F15" s="11" t="s">
        <v>1851</v>
      </c>
    </row>
    <row r="16" customFormat="false" ht="108" hidden="false" customHeight="true" outlineLevel="0" collapsed="false">
      <c r="A16" s="11" t="s">
        <v>1852</v>
      </c>
      <c r="B16" s="11"/>
      <c r="C16" s="11"/>
      <c r="D16" s="11"/>
      <c r="E16" s="11"/>
      <c r="F16" s="11" t="s">
        <v>1853</v>
      </c>
    </row>
    <row r="17" customFormat="false" ht="156" hidden="false" customHeight="true" outlineLevel="0" collapsed="false">
      <c r="A17" s="11" t="s">
        <v>1632</v>
      </c>
      <c r="B17" s="11"/>
      <c r="C17" s="11"/>
      <c r="D17" s="11"/>
      <c r="E17" s="11"/>
      <c r="F17" s="11" t="s">
        <v>1854</v>
      </c>
    </row>
    <row r="18" customFormat="false" ht="108" hidden="false" customHeight="true" outlineLevel="0" collapsed="false">
      <c r="A18" s="11" t="s">
        <v>40</v>
      </c>
      <c r="B18" s="11"/>
      <c r="C18" s="11"/>
      <c r="D18" s="11"/>
      <c r="E18" s="11"/>
      <c r="F18" s="11" t="s">
        <v>1258</v>
      </c>
    </row>
    <row r="19" customFormat="false" ht="15" hidden="false" customHeight="true" outlineLevel="0" collapsed="false">
      <c r="A19" s="11"/>
      <c r="B19" s="11"/>
      <c r="C19" s="11"/>
      <c r="D19" s="11"/>
      <c r="E19" s="11"/>
      <c r="F19" s="11"/>
    </row>
    <row r="20" customFormat="false" ht="15" hidden="false" customHeight="true" outlineLevel="0" collapsed="false">
      <c r="A20" s="11"/>
      <c r="B20" s="11"/>
      <c r="C20" s="11"/>
      <c r="D20" s="11"/>
      <c r="E20" s="11"/>
      <c r="F20" s="11"/>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4"/>
    <col collapsed="false" customWidth="true" hidden="false" outlineLevel="0" max="5" min="2" style="17" width="18"/>
    <col collapsed="false" customWidth="true" hidden="false" outlineLevel="0" max="6" min="6" style="17" width="46"/>
  </cols>
  <sheetData>
    <row r="1" customFormat="false" ht="150.75" hidden="false" customHeight="true" outlineLevel="0" collapsed="false">
      <c r="A1" s="191" t="s">
        <v>291</v>
      </c>
      <c r="B1" s="191"/>
      <c r="C1" s="191"/>
      <c r="D1" s="191"/>
      <c r="E1" s="191"/>
      <c r="F1" s="191"/>
    </row>
    <row r="2" customFormat="false" ht="192" hidden="false" customHeight="true" outlineLevel="0" collapsed="false">
      <c r="A2" s="192" t="s">
        <v>1855</v>
      </c>
      <c r="B2" s="192"/>
      <c r="C2" s="192"/>
      <c r="D2" s="192"/>
      <c r="E2" s="192"/>
      <c r="F2" s="192"/>
    </row>
    <row r="3" customFormat="false" ht="15" hidden="false" customHeight="true" outlineLevel="0" collapsed="false">
      <c r="A3" s="11"/>
      <c r="B3" s="11"/>
      <c r="C3" s="11"/>
      <c r="D3" s="11"/>
      <c r="E3" s="11"/>
      <c r="F3" s="11"/>
    </row>
    <row r="4" customFormat="false" ht="60" hidden="false" customHeight="true" outlineLevel="0" collapsed="false">
      <c r="A4" s="10" t="s">
        <v>497</v>
      </c>
      <c r="B4" s="10" t="s">
        <v>1856</v>
      </c>
      <c r="C4" s="10" t="s">
        <v>1857</v>
      </c>
      <c r="D4" s="10" t="s">
        <v>1858</v>
      </c>
      <c r="E4" s="10" t="s">
        <v>1859</v>
      </c>
      <c r="F4" s="10" t="s">
        <v>1860</v>
      </c>
    </row>
    <row r="5" customFormat="false" ht="15" hidden="false" customHeight="true" outlineLevel="0" collapsed="false">
      <c r="A5" s="11" t="s">
        <v>1775</v>
      </c>
      <c r="B5" s="193" t="n">
        <v>100</v>
      </c>
      <c r="C5" s="194" t="n">
        <v>0.2</v>
      </c>
      <c r="D5" s="193" t="n">
        <f aca="false">B5*C5</f>
        <v>20</v>
      </c>
      <c r="E5" s="194" t="n">
        <v>0.1</v>
      </c>
      <c r="F5" s="193" t="n">
        <f aca="false">D5*(1-E5)</f>
        <v>18</v>
      </c>
    </row>
    <row r="6" customFormat="false" ht="24" hidden="false" customHeight="true" outlineLevel="0" collapsed="false">
      <c r="A6" s="11" t="s">
        <v>503</v>
      </c>
      <c r="B6" s="193" t="n">
        <v>140</v>
      </c>
      <c r="C6" s="194" t="n">
        <v>0.3</v>
      </c>
      <c r="D6" s="193" t="n">
        <f aca="false">B6*C6</f>
        <v>42</v>
      </c>
      <c r="E6" s="194" t="n">
        <v>0.0952380952</v>
      </c>
      <c r="F6" s="193" t="n">
        <f aca="false">D6*(1-E6)</f>
        <v>38.0000000016</v>
      </c>
    </row>
    <row r="7" customFormat="false" ht="15" hidden="false" customHeight="true" outlineLevel="0" collapsed="false">
      <c r="A7" s="11" t="s">
        <v>1778</v>
      </c>
      <c r="B7" s="193" t="n">
        <v>180</v>
      </c>
      <c r="C7" s="194" t="n">
        <v>0.4</v>
      </c>
      <c r="D7" s="193" t="n">
        <f aca="false">B7*C7</f>
        <v>72</v>
      </c>
      <c r="E7" s="194" t="n">
        <v>0.1</v>
      </c>
      <c r="F7" s="193" t="n">
        <f aca="false">D7*(1-E7)</f>
        <v>64.8</v>
      </c>
    </row>
    <row r="8" customFormat="false" ht="15" hidden="false" customHeight="true" outlineLevel="0" collapsed="false">
      <c r="A8" s="11"/>
      <c r="B8" s="193"/>
      <c r="C8" s="11"/>
      <c r="D8" s="11"/>
      <c r="E8" s="11"/>
      <c r="F8" s="193"/>
    </row>
    <row r="9" customFormat="false" ht="36" hidden="false" customHeight="true" outlineLevel="0" collapsed="false">
      <c r="A9" s="11" t="s">
        <v>1861</v>
      </c>
      <c r="B9" s="193"/>
      <c r="C9" s="11"/>
      <c r="D9" s="11"/>
      <c r="E9" s="11"/>
      <c r="F9" s="193" t="n">
        <v>38</v>
      </c>
    </row>
    <row r="10" customFormat="false" ht="15" hidden="false" customHeight="true" outlineLevel="0" collapsed="false">
      <c r="A10" s="11"/>
      <c r="B10" s="11"/>
      <c r="C10" s="11"/>
      <c r="D10" s="11"/>
      <c r="E10" s="11"/>
      <c r="F10" s="11"/>
    </row>
    <row r="11" customFormat="false" ht="72" hidden="false" customHeight="true" outlineLevel="0" collapsed="false">
      <c r="A11" s="11" t="s">
        <v>1862</v>
      </c>
      <c r="B11" s="11"/>
      <c r="C11" s="11"/>
      <c r="D11" s="11"/>
      <c r="E11" s="11"/>
      <c r="F11" s="11" t="s">
        <v>1863</v>
      </c>
    </row>
    <row r="12" customFormat="false" ht="48" hidden="false" customHeight="true" outlineLevel="0" collapsed="false">
      <c r="A12" s="11"/>
      <c r="B12" s="11"/>
      <c r="C12" s="11"/>
      <c r="D12" s="11"/>
      <c r="E12" s="11"/>
      <c r="F12" s="11" t="s">
        <v>1864</v>
      </c>
    </row>
    <row r="13" customFormat="false" ht="36" hidden="false" customHeight="true" outlineLevel="0" collapsed="false">
      <c r="A13" s="11"/>
      <c r="B13" s="11"/>
      <c r="C13" s="11"/>
      <c r="D13" s="11"/>
      <c r="E13" s="11"/>
      <c r="F13" s="11" t="s">
        <v>1865</v>
      </c>
    </row>
    <row r="14" customFormat="false" ht="48" hidden="false" customHeight="true" outlineLevel="0" collapsed="false">
      <c r="A14" s="11"/>
      <c r="B14" s="11"/>
      <c r="C14" s="11"/>
      <c r="D14" s="11"/>
      <c r="E14" s="11"/>
      <c r="F14" s="11" t="s">
        <v>1866</v>
      </c>
    </row>
    <row r="15" customFormat="false" ht="60" hidden="false" customHeight="true" outlineLevel="0" collapsed="false">
      <c r="A15" s="11"/>
      <c r="B15" s="11"/>
      <c r="C15" s="11"/>
      <c r="D15" s="11"/>
      <c r="E15" s="11"/>
      <c r="F15" s="11" t="s">
        <v>1867</v>
      </c>
    </row>
    <row r="16" customFormat="false" ht="48" hidden="false" customHeight="true" outlineLevel="0" collapsed="false">
      <c r="A16" s="11"/>
      <c r="B16" s="11"/>
      <c r="C16" s="11"/>
      <c r="D16" s="11"/>
      <c r="E16" s="11"/>
      <c r="F16" s="11" t="s">
        <v>1868</v>
      </c>
    </row>
    <row r="17" customFormat="false" ht="60" hidden="false" customHeight="true" outlineLevel="0" collapsed="false">
      <c r="A17" s="11"/>
      <c r="B17" s="11"/>
      <c r="C17" s="11"/>
      <c r="D17" s="11"/>
      <c r="E17" s="11"/>
      <c r="F17" s="11" t="s">
        <v>1869</v>
      </c>
    </row>
    <row r="18" customFormat="false" ht="84" hidden="false" customHeight="true" outlineLevel="0" collapsed="false">
      <c r="A18" s="11"/>
      <c r="B18" s="11"/>
      <c r="C18" s="11"/>
      <c r="D18" s="11"/>
      <c r="E18" s="11"/>
      <c r="F18" s="11" t="s">
        <v>1870</v>
      </c>
    </row>
    <row r="19" customFormat="false" ht="108" hidden="false" customHeight="true" outlineLevel="0" collapsed="false">
      <c r="A19" s="11"/>
      <c r="B19" s="11"/>
      <c r="C19" s="11"/>
      <c r="D19" s="11"/>
      <c r="E19" s="11"/>
      <c r="F19" s="11" t="s">
        <v>1871</v>
      </c>
    </row>
    <row r="20" customFormat="false" ht="120" hidden="false" customHeight="true" outlineLevel="0" collapsed="false">
      <c r="A20" s="11" t="s">
        <v>1872</v>
      </c>
      <c r="B20" s="11"/>
      <c r="C20" s="11"/>
      <c r="D20" s="11"/>
      <c r="E20" s="11"/>
      <c r="F20" s="11" t="s">
        <v>1873</v>
      </c>
    </row>
  </sheetData>
  <mergeCells count="2">
    <mergeCell ref="A1:F1"/>
    <mergeCell ref="A2:F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8"/>
    <col collapsed="false" customWidth="true" hidden="false" outlineLevel="0" max="2" min="2" style="17" width="19"/>
    <col collapsed="false" customWidth="true" hidden="false" outlineLevel="0" max="3" min="3" style="17" width="18"/>
    <col collapsed="false" customWidth="true" hidden="false" outlineLevel="0" max="6" min="4" style="17" width="42"/>
  </cols>
  <sheetData>
    <row r="1" customFormat="false" ht="17.25" hidden="false" customHeight="true" outlineLevel="0" collapsed="false">
      <c r="A1" s="195" t="s">
        <v>1874</v>
      </c>
      <c r="B1" s="195"/>
      <c r="C1" s="195"/>
      <c r="D1" s="195"/>
      <c r="E1" s="195"/>
      <c r="F1" s="195"/>
    </row>
    <row r="2" customFormat="false" ht="15" hidden="false" customHeight="true" outlineLevel="0" collapsed="false">
      <c r="A2" s="196" t="s">
        <v>1875</v>
      </c>
      <c r="B2" s="196"/>
      <c r="C2" s="196"/>
      <c r="D2" s="196"/>
      <c r="E2" s="196"/>
      <c r="F2" s="196"/>
    </row>
    <row r="3" customFormat="false" ht="15" hidden="false" customHeight="true" outlineLevel="0" collapsed="false">
      <c r="A3" s="4"/>
      <c r="B3" s="4"/>
      <c r="C3" s="4"/>
      <c r="D3" s="4"/>
      <c r="E3" s="4"/>
      <c r="F3" s="4"/>
    </row>
    <row r="4" customFormat="false" ht="15" hidden="false" customHeight="true" outlineLevel="0" collapsed="false">
      <c r="A4" s="197" t="s">
        <v>1876</v>
      </c>
      <c r="B4" s="197"/>
      <c r="C4" s="197"/>
      <c r="D4" s="197"/>
      <c r="E4" s="197"/>
      <c r="F4" s="197"/>
    </row>
    <row r="5" customFormat="false" ht="15" hidden="false" customHeight="true" outlineLevel="0" collapsed="false">
      <c r="A5" s="198" t="s">
        <v>1877</v>
      </c>
      <c r="B5" s="199" t="s">
        <v>1878</v>
      </c>
      <c r="C5" s="198" t="s">
        <v>827</v>
      </c>
      <c r="D5" s="198" t="s">
        <v>233</v>
      </c>
      <c r="E5" s="198" t="s">
        <v>1879</v>
      </c>
      <c r="F5" s="198" t="s">
        <v>1880</v>
      </c>
    </row>
    <row r="6" customFormat="false" ht="34.5" hidden="false" customHeight="true" outlineLevel="0" collapsed="false">
      <c r="A6" s="4" t="s">
        <v>1881</v>
      </c>
      <c r="B6" s="143" t="n">
        <v>72.5</v>
      </c>
      <c r="C6" s="4" t="s">
        <v>1882</v>
      </c>
      <c r="D6" s="4" t="s">
        <v>1883</v>
      </c>
      <c r="E6" s="4" t="s">
        <v>1884</v>
      </c>
      <c r="F6" s="4" t="s">
        <v>1885</v>
      </c>
    </row>
    <row r="7" customFormat="false" ht="23.25" hidden="false" customHeight="true" outlineLevel="0" collapsed="false">
      <c r="A7" s="4" t="s">
        <v>1886</v>
      </c>
      <c r="B7" s="143" t="n">
        <v>11.5</v>
      </c>
      <c r="C7" s="4" t="s">
        <v>1882</v>
      </c>
      <c r="D7" s="4" t="s">
        <v>1887</v>
      </c>
      <c r="E7" s="4" t="s">
        <v>1888</v>
      </c>
      <c r="F7" s="4" t="s">
        <v>1889</v>
      </c>
    </row>
    <row r="8" customFormat="false" ht="23.25" hidden="false" customHeight="true" outlineLevel="0" collapsed="false">
      <c r="A8" s="4" t="s">
        <v>1890</v>
      </c>
      <c r="B8" s="143" t="n">
        <v>16</v>
      </c>
      <c r="C8" s="4" t="s">
        <v>1882</v>
      </c>
      <c r="D8" s="4" t="s">
        <v>1891</v>
      </c>
      <c r="E8" s="4" t="s">
        <v>1892</v>
      </c>
      <c r="F8" s="4" t="s">
        <v>1893</v>
      </c>
    </row>
    <row r="9" customFormat="false" ht="23.25" hidden="false" customHeight="true" outlineLevel="0" collapsed="false">
      <c r="A9" s="4" t="s">
        <v>1894</v>
      </c>
      <c r="B9" s="143" t="n">
        <v>15</v>
      </c>
      <c r="C9" s="4" t="s">
        <v>1882</v>
      </c>
      <c r="D9" s="4" t="s">
        <v>1895</v>
      </c>
      <c r="E9" s="4" t="s">
        <v>1896</v>
      </c>
      <c r="F9" s="4" t="s">
        <v>1897</v>
      </c>
    </row>
    <row r="10" customFormat="false" ht="23.25" hidden="false" customHeight="true" outlineLevel="0" collapsed="false">
      <c r="A10" s="4" t="s">
        <v>1898</v>
      </c>
      <c r="B10" s="143" t="n">
        <v>7</v>
      </c>
      <c r="C10" s="4" t="s">
        <v>1882</v>
      </c>
      <c r="D10" s="4" t="s">
        <v>1899</v>
      </c>
      <c r="E10" s="4" t="s">
        <v>1900</v>
      </c>
      <c r="F10" s="4" t="s">
        <v>1901</v>
      </c>
    </row>
    <row r="11" customFormat="false" ht="23.25" hidden="false" customHeight="true" outlineLevel="0" collapsed="false">
      <c r="A11" s="4" t="s">
        <v>1902</v>
      </c>
      <c r="B11" s="143" t="n">
        <v>2</v>
      </c>
      <c r="C11" s="4" t="s">
        <v>1882</v>
      </c>
      <c r="D11" s="4" t="s">
        <v>1903</v>
      </c>
      <c r="E11" s="4" t="s">
        <v>1904</v>
      </c>
      <c r="F11" s="4" t="s">
        <v>1905</v>
      </c>
    </row>
    <row r="12" customFormat="false" ht="23.25" hidden="false" customHeight="true" outlineLevel="0" collapsed="false">
      <c r="A12" s="4" t="s">
        <v>1906</v>
      </c>
      <c r="B12" s="143" t="n">
        <v>5</v>
      </c>
      <c r="C12" s="4" t="s">
        <v>1882</v>
      </c>
      <c r="D12" s="4" t="s">
        <v>1907</v>
      </c>
      <c r="E12" s="4" t="s">
        <v>1908</v>
      </c>
      <c r="F12" s="4" t="s">
        <v>1909</v>
      </c>
    </row>
    <row r="13" customFormat="false" ht="23.25" hidden="false" customHeight="true" outlineLevel="0" collapsed="false">
      <c r="A13" s="144" t="s">
        <v>1910</v>
      </c>
      <c r="B13" s="200" t="n">
        <v>-14</v>
      </c>
      <c r="C13" s="144" t="s">
        <v>1911</v>
      </c>
      <c r="D13" s="144" t="s">
        <v>1912</v>
      </c>
      <c r="E13" s="144" t="s">
        <v>1913</v>
      </c>
      <c r="F13" s="144" t="s">
        <v>1914</v>
      </c>
    </row>
    <row r="14" customFormat="false" ht="15" hidden="false" customHeight="true" outlineLevel="0" collapsed="false">
      <c r="A14" s="144" t="s">
        <v>1915</v>
      </c>
      <c r="B14" s="200" t="n">
        <f aca="false">SUM(B6:B13)</f>
        <v>115</v>
      </c>
      <c r="C14" s="144" t="s">
        <v>1916</v>
      </c>
      <c r="D14" s="144" t="s">
        <v>1917</v>
      </c>
      <c r="E14" s="144"/>
      <c r="F14" s="144"/>
    </row>
    <row r="15" customFormat="false" ht="15" hidden="false" customHeight="true" outlineLevel="0" collapsed="false">
      <c r="A15" s="37"/>
      <c r="B15" s="201"/>
      <c r="C15" s="4"/>
      <c r="D15" s="4"/>
      <c r="E15" s="4"/>
      <c r="F15" s="4"/>
    </row>
    <row r="16" customFormat="false" ht="15" hidden="false" customHeight="true" outlineLevel="0" collapsed="false">
      <c r="A16" s="202" t="s">
        <v>1918</v>
      </c>
      <c r="B16" s="202"/>
      <c r="C16" s="202"/>
      <c r="D16" s="202"/>
      <c r="E16" s="202"/>
      <c r="F16" s="202"/>
    </row>
    <row r="17" customFormat="false" ht="23.25" hidden="false" customHeight="true" outlineLevel="0" collapsed="false">
      <c r="A17" s="198" t="s">
        <v>1919</v>
      </c>
      <c r="B17" s="199" t="s">
        <v>1920</v>
      </c>
      <c r="C17" s="198" t="s">
        <v>827</v>
      </c>
      <c r="D17" s="198" t="s">
        <v>1921</v>
      </c>
      <c r="E17" s="198" t="s">
        <v>1879</v>
      </c>
      <c r="F17" s="198" t="s">
        <v>1880</v>
      </c>
    </row>
    <row r="18" customFormat="false" ht="23.25" hidden="false" customHeight="true" outlineLevel="0" collapsed="false">
      <c r="A18" s="144" t="s">
        <v>1922</v>
      </c>
      <c r="B18" s="200" t="n">
        <v>45</v>
      </c>
      <c r="C18" s="4" t="s">
        <v>1923</v>
      </c>
      <c r="D18" s="4" t="s">
        <v>1924</v>
      </c>
      <c r="E18" s="4" t="s">
        <v>1925</v>
      </c>
      <c r="F18" s="4" t="s">
        <v>1926</v>
      </c>
    </row>
    <row r="19" customFormat="false" ht="23.25" hidden="false" customHeight="true" outlineLevel="0" collapsed="false">
      <c r="A19" s="4" t="s">
        <v>1927</v>
      </c>
      <c r="B19" s="143" t="n">
        <v>5</v>
      </c>
      <c r="C19" s="4" t="s">
        <v>1923</v>
      </c>
      <c r="D19" s="4" t="s">
        <v>1928</v>
      </c>
      <c r="E19" s="4" t="s">
        <v>1929</v>
      </c>
      <c r="F19" s="4" t="s">
        <v>1930</v>
      </c>
    </row>
    <row r="20" customFormat="false" ht="15" hidden="false" customHeight="true" outlineLevel="0" collapsed="false">
      <c r="A20" s="4" t="s">
        <v>1931</v>
      </c>
      <c r="B20" s="17" t="n">
        <v>8</v>
      </c>
      <c r="C20" s="17" t="s">
        <v>1923</v>
      </c>
    </row>
    <row r="21" customFormat="false" ht="23.25" hidden="false" customHeight="true" outlineLevel="0" collapsed="false">
      <c r="A21" s="37" t="s">
        <v>1932</v>
      </c>
      <c r="B21" s="201" t="n">
        <v>3</v>
      </c>
      <c r="C21" s="37" t="s">
        <v>1923</v>
      </c>
      <c r="D21" s="37" t="s">
        <v>1933</v>
      </c>
      <c r="E21" s="37" t="s">
        <v>1934</v>
      </c>
      <c r="F21" s="37" t="s">
        <v>1935</v>
      </c>
    </row>
    <row r="22" customFormat="false" ht="34.5" hidden="false" customHeight="true" outlineLevel="0" collapsed="false">
      <c r="A22" s="4" t="s">
        <v>1936</v>
      </c>
      <c r="B22" s="143" t="n">
        <v>9</v>
      </c>
      <c r="C22" s="4" t="s">
        <v>1923</v>
      </c>
      <c r="D22" s="4" t="s">
        <v>1937</v>
      </c>
      <c r="E22" s="4" t="s">
        <v>1938</v>
      </c>
      <c r="F22" s="4" t="s">
        <v>1939</v>
      </c>
    </row>
    <row r="23" customFormat="false" ht="23.25" hidden="false" customHeight="true" outlineLevel="0" collapsed="false">
      <c r="A23" s="4" t="s">
        <v>1940</v>
      </c>
      <c r="B23" s="143" t="n">
        <v>-4</v>
      </c>
      <c r="C23" s="4" t="s">
        <v>1911</v>
      </c>
      <c r="D23" s="4" t="s">
        <v>1941</v>
      </c>
      <c r="E23" s="4" t="s">
        <v>1942</v>
      </c>
      <c r="F23" s="4" t="s">
        <v>1939</v>
      </c>
    </row>
    <row r="24" customFormat="false" ht="23.25" hidden="false" customHeight="true" outlineLevel="0" collapsed="false">
      <c r="A24" s="4" t="s">
        <v>1943</v>
      </c>
      <c r="B24" s="143" t="n">
        <f aca="false">SUM(B18:B23)</f>
        <v>66</v>
      </c>
      <c r="C24" s="4" t="s">
        <v>1944</v>
      </c>
      <c r="D24" s="4" t="s">
        <v>1945</v>
      </c>
      <c r="E24" s="4"/>
      <c r="F24" s="4"/>
    </row>
    <row r="25" customFormat="false" ht="23.25" hidden="false" customHeight="true" outlineLevel="0" collapsed="false">
      <c r="A25" s="4" t="s">
        <v>1946</v>
      </c>
      <c r="B25" s="143" t="n">
        <v>-17</v>
      </c>
      <c r="C25" s="4" t="s">
        <v>1947</v>
      </c>
      <c r="D25" s="4" t="s">
        <v>1948</v>
      </c>
      <c r="E25" s="4" t="s">
        <v>1949</v>
      </c>
      <c r="F25" s="4"/>
    </row>
    <row r="26" customFormat="false" ht="23.25" hidden="false" customHeight="true" outlineLevel="0" collapsed="false">
      <c r="A26" s="144" t="s">
        <v>1950</v>
      </c>
      <c r="B26" s="200" t="n">
        <f aca="false">B24+B25</f>
        <v>49</v>
      </c>
      <c r="C26" s="144" t="s">
        <v>1916</v>
      </c>
      <c r="D26" s="144" t="s">
        <v>1951</v>
      </c>
      <c r="E26" s="144"/>
      <c r="F26" s="144"/>
    </row>
    <row r="27" customFormat="false" ht="23.25" hidden="false" customHeight="true" outlineLevel="0" collapsed="false">
      <c r="A27" s="144" t="s">
        <v>1952</v>
      </c>
      <c r="B27" s="200" t="n">
        <f aca="false">B14+B26</f>
        <v>164</v>
      </c>
      <c r="C27" s="144" t="s">
        <v>1953</v>
      </c>
      <c r="D27" s="144" t="s">
        <v>1954</v>
      </c>
      <c r="E27" s="144" t="s">
        <v>1955</v>
      </c>
      <c r="F27" s="144"/>
    </row>
    <row r="28" customFormat="false" ht="15" hidden="false" customHeight="true" outlineLevel="0" collapsed="false">
      <c r="A28" s="4"/>
      <c r="B28" s="143"/>
      <c r="C28" s="4"/>
      <c r="D28" s="4"/>
      <c r="E28" s="4"/>
      <c r="F28" s="4"/>
    </row>
    <row r="29" customFormat="false" ht="15" hidden="false" customHeight="true" outlineLevel="0" collapsed="false">
      <c r="A29" s="202" t="s">
        <v>1956</v>
      </c>
      <c r="B29" s="202"/>
      <c r="C29" s="202"/>
      <c r="D29" s="202"/>
      <c r="E29" s="202"/>
      <c r="F29" s="202"/>
    </row>
    <row r="30" customFormat="false" ht="15" hidden="false" customHeight="true" outlineLevel="0" collapsed="false">
      <c r="A30" s="198" t="s">
        <v>1957</v>
      </c>
      <c r="B30" s="199" t="s">
        <v>234</v>
      </c>
      <c r="C30" s="4"/>
      <c r="D30" s="4"/>
      <c r="E30" s="4"/>
      <c r="F30" s="4"/>
    </row>
    <row r="31" customFormat="false" ht="15" hidden="false" customHeight="true" outlineLevel="0" collapsed="false">
      <c r="A31" s="4" t="s">
        <v>1958</v>
      </c>
      <c r="B31" s="143" t="n">
        <v>75.5234483871018</v>
      </c>
      <c r="C31" s="4"/>
      <c r="D31" s="4"/>
      <c r="E31" s="4"/>
      <c r="F31" s="4"/>
    </row>
    <row r="32" customFormat="false" ht="15" hidden="false" customHeight="true" outlineLevel="0" collapsed="false">
      <c r="A32" s="4" t="s">
        <v>943</v>
      </c>
      <c r="B32" s="143" t="n">
        <f aca="false">B27</f>
        <v>164</v>
      </c>
      <c r="C32" s="4"/>
      <c r="D32" s="4"/>
      <c r="E32" s="4"/>
      <c r="F32" s="4"/>
    </row>
    <row r="33" customFormat="false" ht="15" hidden="false" customHeight="true" outlineLevel="0" collapsed="false">
      <c r="A33" s="144" t="s">
        <v>1959</v>
      </c>
      <c r="B33" s="200" t="n">
        <f aca="false">B31+B32</f>
        <v>239.523448387102</v>
      </c>
      <c r="C33" s="4"/>
      <c r="D33" s="4"/>
      <c r="E33" s="4"/>
      <c r="F33" s="4"/>
    </row>
    <row r="34" customFormat="false" ht="23.25" hidden="false" customHeight="true" outlineLevel="0" collapsed="false">
      <c r="A34" s="144" t="s">
        <v>1960</v>
      </c>
      <c r="B34" s="200" t="n">
        <f aca="false">2024_Basis_Control!B9-2024_Basis_Control!B11-2024_Basis_Control!B13-B27</f>
        <v>3460</v>
      </c>
      <c r="C34" s="4"/>
      <c r="D34" s="4"/>
      <c r="E34" s="4"/>
      <c r="F34" s="4"/>
    </row>
    <row r="35" customFormat="false" ht="23.25" hidden="false" customHeight="true" outlineLevel="0" collapsed="false">
      <c r="A35" s="144" t="s">
        <v>1961</v>
      </c>
      <c r="B35" s="200" t="n">
        <f aca="false">Deficit_Views!B49</f>
        <v>318.956061063382</v>
      </c>
      <c r="C35" s="4"/>
      <c r="D35" s="4"/>
      <c r="E35" s="4"/>
      <c r="F35" s="4"/>
    </row>
    <row r="36" customFormat="false" ht="15" hidden="false" customHeight="true" outlineLevel="0" collapsed="false">
      <c r="A36" s="4"/>
      <c r="B36" s="4"/>
      <c r="C36" s="4"/>
      <c r="D36" s="4"/>
      <c r="E36" s="4"/>
      <c r="F36" s="4"/>
    </row>
    <row r="37" customFormat="false" ht="15" hidden="false" customHeight="true" outlineLevel="0" collapsed="false">
      <c r="A37" s="202" t="s">
        <v>1962</v>
      </c>
      <c r="B37" s="202"/>
      <c r="C37" s="202"/>
      <c r="D37" s="202"/>
      <c r="E37" s="202"/>
      <c r="F37" s="202"/>
    </row>
    <row r="38" customFormat="false" ht="15" hidden="false" customHeight="true" outlineLevel="0" collapsed="false">
      <c r="A38" s="198" t="s">
        <v>1963</v>
      </c>
      <c r="B38" s="198" t="s">
        <v>1964</v>
      </c>
      <c r="C38" s="198" t="s">
        <v>1965</v>
      </c>
      <c r="D38" s="198" t="s">
        <v>1966</v>
      </c>
      <c r="E38" s="198" t="s">
        <v>1967</v>
      </c>
      <c r="F38" s="198" t="s">
        <v>1880</v>
      </c>
    </row>
    <row r="39" customFormat="false" ht="57" hidden="false" customHeight="true" outlineLevel="0" collapsed="false">
      <c r="A39" s="4" t="n">
        <v>1</v>
      </c>
      <c r="B39" s="4" t="s">
        <v>1968</v>
      </c>
      <c r="C39" s="4" t="s">
        <v>1969</v>
      </c>
      <c r="D39" s="4" t="s">
        <v>1970</v>
      </c>
      <c r="E39" s="4" t="s">
        <v>1971</v>
      </c>
      <c r="F39" s="4" t="s">
        <v>59</v>
      </c>
    </row>
    <row r="40" customFormat="false" ht="57" hidden="false" customHeight="true" outlineLevel="0" collapsed="false">
      <c r="A40" s="4" t="n">
        <v>2</v>
      </c>
      <c r="B40" s="4" t="s">
        <v>1972</v>
      </c>
      <c r="C40" s="4" t="s">
        <v>1973</v>
      </c>
      <c r="D40" s="4" t="s">
        <v>1974</v>
      </c>
      <c r="E40" s="4" t="s">
        <v>1975</v>
      </c>
      <c r="F40" s="4" t="s">
        <v>1976</v>
      </c>
    </row>
    <row r="41" customFormat="false" ht="15" hidden="false" customHeight="true" outlineLevel="0" collapsed="false">
      <c r="A41" s="17" t="n">
        <v>3</v>
      </c>
      <c r="B41" s="17" t="s">
        <v>1977</v>
      </c>
      <c r="C41" s="17" t="s">
        <v>1978</v>
      </c>
      <c r="D41" s="17" t="s">
        <v>1974</v>
      </c>
      <c r="E41" s="17" t="s">
        <v>1979</v>
      </c>
      <c r="F41" s="17" t="s">
        <v>1893</v>
      </c>
    </row>
  </sheetData>
  <mergeCells count="6">
    <mergeCell ref="A1:F1"/>
    <mergeCell ref="A2:F2"/>
    <mergeCell ref="A4:F4"/>
    <mergeCell ref="A16:F16"/>
    <mergeCell ref="A29:F29"/>
    <mergeCell ref="A37:F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0"/>
    <col collapsed="false" customWidth="true" hidden="false" outlineLevel="0" max="4" min="2" style="17" width="18"/>
    <col collapsed="false" customWidth="true" hidden="false" outlineLevel="0" max="5" min="5" style="17" width="40"/>
    <col collapsed="false" customWidth="true" hidden="false" outlineLevel="0" max="6" min="6" style="17" width="38"/>
    <col collapsed="false" customWidth="true" hidden="false" outlineLevel="0" max="7" min="7" style="17" width="15"/>
    <col collapsed="false" customWidth="true" hidden="false" outlineLevel="0" max="12" min="9" style="17" width="14"/>
  </cols>
  <sheetData>
    <row r="1" customFormat="false" ht="17.25" hidden="false" customHeight="true" outlineLevel="0" collapsed="false">
      <c r="A1" s="203" t="s">
        <v>1980</v>
      </c>
      <c r="B1" s="203"/>
      <c r="C1" s="203"/>
      <c r="D1" s="203"/>
      <c r="E1" s="203"/>
      <c r="F1" s="203"/>
      <c r="G1" s="203"/>
    </row>
    <row r="2" customFormat="false" ht="23.25" hidden="false" customHeight="true" outlineLevel="0" collapsed="false">
      <c r="A2" s="36" t="s">
        <v>1981</v>
      </c>
      <c r="B2" s="36"/>
      <c r="C2" s="36"/>
      <c r="D2" s="36"/>
      <c r="E2" s="36"/>
      <c r="F2" s="36"/>
      <c r="G2" s="36"/>
    </row>
    <row r="3" customFormat="false" ht="15" hidden="false" customHeight="true" outlineLevel="0" collapsed="false">
      <c r="A3" s="4"/>
      <c r="B3" s="4"/>
      <c r="C3" s="4"/>
      <c r="D3" s="4"/>
      <c r="E3" s="4"/>
      <c r="F3" s="4"/>
      <c r="G3" s="4"/>
    </row>
    <row r="4" customFormat="false" ht="15" hidden="false" customHeight="true" outlineLevel="0" collapsed="false">
      <c r="A4" s="202" t="s">
        <v>1982</v>
      </c>
      <c r="B4" s="202"/>
      <c r="C4" s="202"/>
      <c r="D4" s="202"/>
      <c r="E4" s="202"/>
      <c r="F4" s="202"/>
      <c r="G4" s="202"/>
    </row>
    <row r="5" customFormat="false" ht="15" hidden="false" customHeight="true" outlineLevel="0" collapsed="false">
      <c r="A5" s="198" t="s">
        <v>500</v>
      </c>
      <c r="B5" s="198" t="s">
        <v>688</v>
      </c>
      <c r="C5" s="198" t="s">
        <v>1983</v>
      </c>
      <c r="D5" s="198" t="s">
        <v>1984</v>
      </c>
      <c r="E5" s="4"/>
      <c r="F5" s="4"/>
      <c r="G5" s="4"/>
    </row>
    <row r="6" customFormat="false" ht="15" hidden="false" customHeight="true" outlineLevel="0" collapsed="false">
      <c r="A6" s="4" t="s">
        <v>964</v>
      </c>
      <c r="B6" s="143" t="n">
        <v>2700</v>
      </c>
      <c r="C6" s="4" t="s">
        <v>636</v>
      </c>
      <c r="D6" s="4" t="s">
        <v>1985</v>
      </c>
      <c r="E6" s="4"/>
      <c r="F6" s="4"/>
      <c r="G6" s="4"/>
    </row>
    <row r="7" customFormat="false" ht="34.5" hidden="false" customHeight="true" outlineLevel="0" collapsed="false">
      <c r="A7" s="4" t="s">
        <v>1986</v>
      </c>
      <c r="B7" s="204" t="n">
        <v>0.0715</v>
      </c>
      <c r="C7" s="4" t="s">
        <v>1987</v>
      </c>
      <c r="D7" s="4" t="s">
        <v>1988</v>
      </c>
      <c r="E7" s="4"/>
      <c r="F7" s="4"/>
      <c r="G7" s="4"/>
    </row>
    <row r="8" customFormat="false" ht="23.25" hidden="false" customHeight="true" outlineLevel="0" collapsed="false">
      <c r="A8" s="4" t="s">
        <v>1989</v>
      </c>
      <c r="B8" s="204" t="n">
        <v>0.012</v>
      </c>
      <c r="C8" s="4" t="s">
        <v>1990</v>
      </c>
      <c r="D8" s="4" t="s">
        <v>1991</v>
      </c>
      <c r="E8" s="4"/>
      <c r="F8" s="4"/>
      <c r="G8" s="4"/>
    </row>
    <row r="9" customFormat="false" ht="34.5" hidden="false" customHeight="true" outlineLevel="0" collapsed="false">
      <c r="A9" s="4" t="s">
        <v>1992</v>
      </c>
      <c r="B9" s="204" t="n">
        <v>1.02407286922577</v>
      </c>
      <c r="C9" s="4" t="s">
        <v>1993</v>
      </c>
      <c r="D9" s="4" t="s">
        <v>1994</v>
      </c>
      <c r="E9" s="4"/>
      <c r="F9" s="4"/>
      <c r="G9" s="4"/>
    </row>
    <row r="10" customFormat="false" ht="34.5" hidden="false" customHeight="true" outlineLevel="0" collapsed="false">
      <c r="A10" s="4" t="s">
        <v>1995</v>
      </c>
      <c r="B10" s="204" t="n">
        <v>1.03188028627196</v>
      </c>
      <c r="C10" s="4" t="s">
        <v>1993</v>
      </c>
      <c r="D10" s="4" t="s">
        <v>1994</v>
      </c>
      <c r="E10" s="4"/>
      <c r="F10" s="4"/>
      <c r="G10" s="4"/>
    </row>
    <row r="11" customFormat="false" ht="15" hidden="false" customHeight="true" outlineLevel="0" collapsed="false">
      <c r="A11" s="4" t="s">
        <v>766</v>
      </c>
      <c r="B11" s="143" t="n">
        <v>34.9346711071021</v>
      </c>
      <c r="C11" s="4" t="s">
        <v>1996</v>
      </c>
      <c r="D11" s="4" t="s">
        <v>1997</v>
      </c>
      <c r="E11" s="4"/>
      <c r="F11" s="4"/>
      <c r="G11" s="4"/>
    </row>
    <row r="12" customFormat="false" ht="15" hidden="false" customHeight="true" outlineLevel="0" collapsed="false">
      <c r="A12" s="4" t="s">
        <v>1998</v>
      </c>
      <c r="B12" s="143" t="n">
        <v>364.50949205</v>
      </c>
      <c r="C12" s="4" t="s">
        <v>1996</v>
      </c>
      <c r="D12" s="4" t="s">
        <v>1997</v>
      </c>
      <c r="E12" s="4" t="s">
        <v>1999</v>
      </c>
      <c r="F12" s="4" t="s">
        <v>953</v>
      </c>
      <c r="G12" s="4" t="s">
        <v>827</v>
      </c>
    </row>
    <row r="13" customFormat="false" ht="57" hidden="false" customHeight="true" outlineLevel="0" collapsed="false">
      <c r="A13" s="4" t="s">
        <v>968</v>
      </c>
      <c r="B13" s="143" t="n">
        <v>120</v>
      </c>
      <c r="C13" s="4" t="s">
        <v>636</v>
      </c>
      <c r="D13" s="4" t="s">
        <v>1985</v>
      </c>
      <c r="E13" s="4" t="s">
        <v>2000</v>
      </c>
      <c r="F13" s="4" t="n">
        <v>6</v>
      </c>
      <c r="G13" s="4" t="s">
        <v>2001</v>
      </c>
    </row>
    <row r="14" customFormat="false" ht="15" hidden="false" customHeight="true" outlineLevel="0" collapsed="false">
      <c r="A14" s="202" t="s">
        <v>2002</v>
      </c>
      <c r="B14" s="202"/>
      <c r="C14" s="202"/>
      <c r="D14" s="202"/>
      <c r="E14" s="202"/>
      <c r="F14" s="202"/>
      <c r="G14" s="202"/>
    </row>
    <row r="15" customFormat="false" ht="15" hidden="false" customHeight="true" outlineLevel="0" collapsed="false">
      <c r="A15" s="198"/>
      <c r="B15" s="198"/>
      <c r="C15" s="198"/>
      <c r="D15" s="198"/>
      <c r="E15" s="198"/>
      <c r="F15" s="198"/>
      <c r="G15" s="198"/>
    </row>
    <row r="16" customFormat="false" ht="15" hidden="false" customHeight="true" outlineLevel="0" collapsed="false">
      <c r="A16" s="202" t="s">
        <v>2003</v>
      </c>
      <c r="B16" s="202"/>
      <c r="C16" s="202"/>
      <c r="D16" s="202"/>
      <c r="E16" s="202"/>
      <c r="F16" s="202"/>
      <c r="G16" s="202"/>
    </row>
    <row r="17" customFormat="false" ht="15" hidden="false" customHeight="true" outlineLevel="0" collapsed="false">
      <c r="A17" s="198" t="s">
        <v>687</v>
      </c>
      <c r="B17" s="205" t="s">
        <v>953</v>
      </c>
      <c r="C17" s="205" t="s">
        <v>956</v>
      </c>
      <c r="D17" s="205" t="s">
        <v>958</v>
      </c>
      <c r="E17" s="198" t="s">
        <v>827</v>
      </c>
      <c r="F17" s="198" t="s">
        <v>2004</v>
      </c>
      <c r="G17" s="198" t="s">
        <v>691</v>
      </c>
    </row>
    <row r="18" customFormat="false" ht="15" hidden="false" customHeight="true" outlineLevel="0" collapsed="false">
      <c r="A18" s="4" t="s">
        <v>2005</v>
      </c>
      <c r="B18" s="47" t="n">
        <v>2700</v>
      </c>
      <c r="C18" s="47" t="n">
        <v>2700</v>
      </c>
      <c r="D18" s="47" t="n">
        <v>2700</v>
      </c>
      <c r="E18" s="4" t="s">
        <v>2006</v>
      </c>
      <c r="F18" s="4" t="s">
        <v>2007</v>
      </c>
      <c r="G18" s="4" t="s">
        <v>702</v>
      </c>
    </row>
    <row r="19" customFormat="false" ht="23.25" hidden="false" customHeight="true" outlineLevel="0" collapsed="false">
      <c r="A19" s="4" t="s">
        <v>2008</v>
      </c>
      <c r="B19" s="47" t="n">
        <f aca="false">SS_Hybrid_2024!D9+NLA_Model!E21</f>
        <v>997.86224923</v>
      </c>
      <c r="C19" s="47" t="n">
        <f aca="false">SS_Hybrid_2024!D9*(1+$B$8)^4+NLA_Model!E22</f>
        <v>1091.82055798033</v>
      </c>
      <c r="D19" s="47" t="n">
        <f aca="false">SS_Hybrid_2024!D9*(1+$B$8)^10+NLA_Model!E23</f>
        <v>1254.22842919171</v>
      </c>
      <c r="E19" s="4" t="s">
        <v>2009</v>
      </c>
      <c r="F19" s="4" t="s">
        <v>2010</v>
      </c>
      <c r="G19" s="4" t="s">
        <v>708</v>
      </c>
    </row>
    <row r="20" customFormat="false" ht="15" hidden="false" customHeight="true" outlineLevel="0" collapsed="false">
      <c r="A20" s="4" t="s">
        <v>2011</v>
      </c>
      <c r="B20" s="47" t="n">
        <f aca="false">$B$6*$B$7</f>
        <v>193.05</v>
      </c>
      <c r="C20" s="47" t="n">
        <f aca="false">$B$6*$B$7</f>
        <v>193.05</v>
      </c>
      <c r="D20" s="47" t="n">
        <f aca="false">$B$6*$B$7</f>
        <v>193.05</v>
      </c>
      <c r="E20" s="4" t="s">
        <v>2012</v>
      </c>
      <c r="F20" s="4" t="s">
        <v>2013</v>
      </c>
      <c r="G20" s="4" t="s">
        <v>708</v>
      </c>
    </row>
    <row r="21" customFormat="false" ht="15" hidden="false" customHeight="true" outlineLevel="0" collapsed="false">
      <c r="A21" s="206" t="s">
        <v>2014</v>
      </c>
      <c r="B21" s="207" t="n">
        <f aca="false">B19+B20</f>
        <v>1190.91224923</v>
      </c>
      <c r="C21" s="207" t="n">
        <f aca="false">C19+C20</f>
        <v>1284.87055798033</v>
      </c>
      <c r="D21" s="207" t="n">
        <f aca="false">D19+D20</f>
        <v>1447.27842919171</v>
      </c>
      <c r="E21" s="206" t="s">
        <v>438</v>
      </c>
      <c r="F21" s="206" t="s">
        <v>2015</v>
      </c>
      <c r="G21" s="206" t="s">
        <v>708</v>
      </c>
    </row>
    <row r="22" customFormat="false" ht="34.5" hidden="false" customHeight="true" outlineLevel="0" collapsed="false">
      <c r="A22" s="206" t="s">
        <v>2016</v>
      </c>
      <c r="B22" s="207" t="n">
        <f aca="false">1485-6</f>
        <v>1479</v>
      </c>
      <c r="C22" s="207" t="n">
        <f aca="false">1485*(1+$B$8)^4*$B$9-6</f>
        <v>1589.06859431868</v>
      </c>
      <c r="D22" s="207" t="n">
        <f aca="false">1485*(1+$B$8)^10*$B$10-6</f>
        <v>1720.47738596024</v>
      </c>
      <c r="E22" s="206" t="s">
        <v>2017</v>
      </c>
      <c r="F22" s="206" t="s">
        <v>2018</v>
      </c>
      <c r="G22" s="206" t="s">
        <v>708</v>
      </c>
    </row>
    <row r="23" customFormat="false" ht="34.5" hidden="false" customHeight="true" outlineLevel="0" collapsed="false">
      <c r="A23" s="206" t="s">
        <v>2019</v>
      </c>
      <c r="B23" s="207" t="n">
        <f aca="false">MAX(0,B22-B21-Noncitizen_SS_Model!B30-Noncitizen_SS_Model!B31-12)</f>
        <v>205.67978658312</v>
      </c>
      <c r="C23" s="207" t="n">
        <f aca="false">MAX(0,C22-C21-Noncitizen_SS_Model!C30-Noncitizen_SS_Model!C31-12)</f>
        <v>217.894681279245</v>
      </c>
      <c r="D23" s="207" t="n">
        <f aca="false">MAX(0,D22-D21-Noncitizen_SS_Model!D30-Noncitizen_SS_Model!D31-12)</f>
        <v>181.224335805155</v>
      </c>
      <c r="E23" s="206" t="s">
        <v>2020</v>
      </c>
      <c r="F23" s="206" t="s">
        <v>2021</v>
      </c>
      <c r="G23" s="206" t="s">
        <v>708</v>
      </c>
    </row>
    <row r="24" customFormat="false" ht="15" hidden="false" customHeight="true" outlineLevel="0" collapsed="false">
      <c r="A24" s="4" t="s">
        <v>2022</v>
      </c>
      <c r="B24" s="47" t="n">
        <v>364.50949205</v>
      </c>
      <c r="C24" s="47" t="n">
        <v>364.50949205</v>
      </c>
      <c r="D24" s="47" t="n">
        <v>364.50949205</v>
      </c>
      <c r="E24" s="4" t="s">
        <v>2023</v>
      </c>
      <c r="F24" s="4" t="s">
        <v>2024</v>
      </c>
      <c r="G24" s="4" t="s">
        <v>708</v>
      </c>
    </row>
    <row r="25" customFormat="false" ht="15" hidden="false" customHeight="true" outlineLevel="0" collapsed="false">
      <c r="A25" s="198" t="s">
        <v>2025</v>
      </c>
      <c r="B25" s="149" t="n">
        <f aca="false">$B$13</f>
        <v>120</v>
      </c>
      <c r="C25" s="149" t="n">
        <f aca="false">$B$13</f>
        <v>120</v>
      </c>
      <c r="D25" s="149" t="n">
        <f aca="false">$B$13</f>
        <v>120</v>
      </c>
    </row>
    <row r="26" customFormat="false" ht="15" hidden="false" customHeight="true" outlineLevel="0" collapsed="false">
      <c r="A26" s="198" t="s">
        <v>2026</v>
      </c>
      <c r="B26" s="205" t="n">
        <f aca="false">B24-B25</f>
        <v>244.50949205</v>
      </c>
      <c r="C26" s="205" t="n">
        <f aca="false">C24-C25</f>
        <v>244.50949205</v>
      </c>
      <c r="D26" s="205" t="n">
        <f aca="false">D24-D25</f>
        <v>244.50949205</v>
      </c>
      <c r="E26" s="198" t="s">
        <v>2027</v>
      </c>
      <c r="F26" s="198" t="s">
        <v>2028</v>
      </c>
      <c r="G26" s="198" t="s">
        <v>708</v>
      </c>
    </row>
    <row r="27" customFormat="false" ht="15" hidden="false" customHeight="true" outlineLevel="0" collapsed="false">
      <c r="A27" s="4" t="s">
        <v>793</v>
      </c>
      <c r="B27" s="47" t="n">
        <f aca="false">National_Continuity!B24</f>
        <v>205.67978658312</v>
      </c>
      <c r="C27" s="47" t="n">
        <f aca="false">National_Continuity!C24</f>
        <v>217.894681279245</v>
      </c>
      <c r="D27" s="47" t="n">
        <f aca="false">National_Continuity!D24</f>
        <v>181.224335805155</v>
      </c>
      <c r="E27" s="4" t="s">
        <v>2029</v>
      </c>
      <c r="F27" s="4" t="s">
        <v>2030</v>
      </c>
      <c r="G27" s="4" t="s">
        <v>708</v>
      </c>
    </row>
    <row r="28" customFormat="false" ht="15" hidden="false" customHeight="true" outlineLevel="0" collapsed="false">
      <c r="A28" s="4" t="s">
        <v>810</v>
      </c>
      <c r="B28" s="47" t="n">
        <f aca="false">National_Continuity!B27</f>
        <v>0</v>
      </c>
      <c r="C28" s="47" t="n">
        <f aca="false">National_Continuity!C27</f>
        <v>0</v>
      </c>
      <c r="D28" s="47" t="n">
        <f aca="false">National_Continuity!D27</f>
        <v>0</v>
      </c>
      <c r="E28" s="4" t="s">
        <v>2031</v>
      </c>
      <c r="F28" s="4" t="s">
        <v>2032</v>
      </c>
      <c r="G28" s="4" t="s">
        <v>708</v>
      </c>
    </row>
    <row r="29" customFormat="false" ht="15" hidden="false" customHeight="true" outlineLevel="0" collapsed="false">
      <c r="A29" s="208" t="s">
        <v>830</v>
      </c>
      <c r="B29" s="209" t="n">
        <f aca="false">B21+12+Noncitizen_SS_Model!B30+Noncitizen_SS_Model!B31+National_Continuity!B24+National_Continuity!B27-B22</f>
        <v>0</v>
      </c>
      <c r="C29" s="209" t="n">
        <f aca="false">C21+12+Noncitizen_SS_Model!C30+Noncitizen_SS_Model!C31+National_Continuity!C24+National_Continuity!C27-C22</f>
        <v>0</v>
      </c>
      <c r="D29" s="209" t="n">
        <f aca="false">D21+12+Noncitizen_SS_Model!D30+Noncitizen_SS_Model!D31+National_Continuity!D24+National_Continuity!D27-D22</f>
        <v>0</v>
      </c>
      <c r="E29" s="208" t="s">
        <v>2033</v>
      </c>
      <c r="F29" s="208" t="s">
        <v>2034</v>
      </c>
      <c r="G29" s="208" t="s">
        <v>708</v>
      </c>
    </row>
    <row r="30" customFormat="false" ht="15" hidden="false" customHeight="true" outlineLevel="0" collapsed="false">
      <c r="A30" s="208" t="s">
        <v>2035</v>
      </c>
      <c r="B30" s="209" t="n">
        <f aca="false">National_Continuity!B26</f>
        <v>290.72021341688</v>
      </c>
      <c r="C30" s="209" t="n">
        <f aca="false">National_Continuity!C26</f>
        <v>302.764849730905</v>
      </c>
      <c r="D30" s="209" t="n">
        <f aca="false">National_Continuity!D26</f>
        <v>378.065462742936</v>
      </c>
      <c r="E30" s="208" t="s">
        <v>2036</v>
      </c>
      <c r="F30" s="208" t="s">
        <v>2037</v>
      </c>
      <c r="G30" s="208" t="s">
        <v>708</v>
      </c>
    </row>
    <row r="31" customFormat="false" ht="15" hidden="false" customHeight="true" outlineLevel="0" collapsed="false">
      <c r="A31" s="208" t="s">
        <v>816</v>
      </c>
      <c r="B31" s="209" t="n">
        <f aca="false">National_Continuity!B32</f>
        <v>122.254746025</v>
      </c>
      <c r="C31" s="209" t="n">
        <f aca="false">National_Continuity!C32</f>
        <v>122.254746025</v>
      </c>
      <c r="D31" s="209" t="n">
        <f aca="false">National_Continuity!D32</f>
        <v>122.254746025</v>
      </c>
      <c r="E31" s="208" t="s">
        <v>2038</v>
      </c>
      <c r="F31" s="208" t="s">
        <v>2039</v>
      </c>
      <c r="G31" s="208" t="s">
        <v>708</v>
      </c>
    </row>
    <row r="32" customFormat="false" ht="15" hidden="false" customHeight="true" outlineLevel="0" collapsed="false">
      <c r="A32" s="208" t="s">
        <v>818</v>
      </c>
      <c r="B32" s="209" t="n">
        <f aca="false">National_Continuity!B33</f>
        <v>122.254746025</v>
      </c>
      <c r="C32" s="209" t="n">
        <f aca="false">National_Continuity!C33</f>
        <v>122.254746025</v>
      </c>
      <c r="D32" s="209" t="n">
        <f aca="false">National_Continuity!D33</f>
        <v>122.254746025</v>
      </c>
      <c r="E32" s="208" t="s">
        <v>2038</v>
      </c>
      <c r="F32" s="208" t="s">
        <v>2039</v>
      </c>
      <c r="G32" s="208" t="s">
        <v>708</v>
      </c>
    </row>
    <row r="33" customFormat="false" ht="15" hidden="false" customHeight="true" outlineLevel="0" collapsed="false">
      <c r="A33" s="120" t="s">
        <v>2040</v>
      </c>
      <c r="B33" s="210" t="n">
        <f aca="false">National_Continuity!B34</f>
        <v>37.1560610633821</v>
      </c>
      <c r="C33" s="210" t="n">
        <f aca="false">National_Continuity!C34</f>
        <v>37.1560610633821</v>
      </c>
      <c r="D33" s="210" t="n">
        <f aca="false">National_Continuity!D34</f>
        <v>37.1560610633821</v>
      </c>
      <c r="E33" s="120" t="s">
        <v>2041</v>
      </c>
      <c r="F33" s="120" t="s">
        <v>2042</v>
      </c>
      <c r="G33" s="120" t="s">
        <v>708</v>
      </c>
    </row>
    <row r="34" customFormat="false" ht="23.25" hidden="false" customHeight="true" outlineLevel="0" collapsed="false">
      <c r="A34" s="120" t="s">
        <v>2043</v>
      </c>
      <c r="B34" s="210" t="n">
        <f aca="false">Budget_0_4_10!B23</f>
        <v>992.185766530262</v>
      </c>
      <c r="C34" s="210" t="n">
        <f aca="false">Budget_0_4_10!C23</f>
        <v>1004.23040284429</v>
      </c>
      <c r="D34" s="210" t="n">
        <f aca="false">Budget_0_4_10!D23</f>
        <v>1079.53101585632</v>
      </c>
      <c r="E34" s="120" t="s">
        <v>2044</v>
      </c>
      <c r="F34" s="120" t="s">
        <v>2045</v>
      </c>
      <c r="G34" s="120" t="s">
        <v>708</v>
      </c>
    </row>
    <row r="35" customFormat="false" ht="15" hidden="false" customHeight="true" outlineLevel="0" collapsed="false">
      <c r="A35" s="4"/>
      <c r="B35" s="4"/>
      <c r="C35" s="4"/>
      <c r="D35" s="4"/>
      <c r="E35" s="4"/>
      <c r="F35" s="4"/>
      <c r="G35" s="4"/>
    </row>
    <row r="36" customFormat="false" ht="15" hidden="false" customHeight="true" outlineLevel="0" collapsed="false">
      <c r="A36" s="202" t="s">
        <v>2046</v>
      </c>
      <c r="B36" s="202"/>
      <c r="C36" s="202"/>
      <c r="D36" s="202"/>
      <c r="E36" s="202"/>
      <c r="F36" s="202"/>
      <c r="G36" s="202"/>
    </row>
    <row r="37" customFormat="false" ht="23.25" hidden="false" customHeight="true" outlineLevel="0" collapsed="false">
      <c r="A37" s="198" t="s">
        <v>1963</v>
      </c>
      <c r="B37" s="198" t="s">
        <v>2047</v>
      </c>
      <c r="C37" s="198" t="s">
        <v>2048</v>
      </c>
      <c r="D37" s="198" t="s">
        <v>2049</v>
      </c>
      <c r="E37" s="198" t="s">
        <v>2050</v>
      </c>
      <c r="F37" s="198" t="s">
        <v>2051</v>
      </c>
      <c r="G37" s="198" t="s">
        <v>691</v>
      </c>
    </row>
    <row r="38" customFormat="false" ht="23.25" hidden="false" customHeight="true" outlineLevel="0" collapsed="false">
      <c r="A38" s="208" t="n">
        <v>1</v>
      </c>
      <c r="B38" s="208" t="s">
        <v>2052</v>
      </c>
      <c r="C38" s="4" t="s">
        <v>2053</v>
      </c>
      <c r="D38" s="4" t="s">
        <v>2054</v>
      </c>
      <c r="E38" s="4" t="s">
        <v>2055</v>
      </c>
      <c r="F38" s="4" t="s">
        <v>2056</v>
      </c>
      <c r="G38" s="4" t="s">
        <v>702</v>
      </c>
    </row>
    <row r="39" customFormat="false" ht="45.75" hidden="false" customHeight="true" outlineLevel="0" collapsed="false">
      <c r="A39" s="208" t="n">
        <v>2</v>
      </c>
      <c r="B39" s="208" t="s">
        <v>1047</v>
      </c>
      <c r="C39" s="4" t="s">
        <v>2057</v>
      </c>
      <c r="D39" s="4" t="s">
        <v>2058</v>
      </c>
      <c r="E39" s="4" t="s">
        <v>2059</v>
      </c>
      <c r="F39" s="4" t="s">
        <v>2060</v>
      </c>
      <c r="G39" s="4" t="s">
        <v>702</v>
      </c>
    </row>
    <row r="40" customFormat="false" ht="57" hidden="false" customHeight="true" outlineLevel="0" collapsed="false">
      <c r="A40" s="208" t="n">
        <v>3</v>
      </c>
      <c r="B40" s="208" t="s">
        <v>2061</v>
      </c>
      <c r="C40" s="4" t="s">
        <v>2062</v>
      </c>
      <c r="D40" s="4" t="s">
        <v>2063</v>
      </c>
      <c r="E40" s="4" t="s">
        <v>2064</v>
      </c>
      <c r="F40" s="4" t="s">
        <v>2065</v>
      </c>
      <c r="G40" s="4" t="s">
        <v>2066</v>
      </c>
    </row>
    <row r="41" customFormat="false" ht="45.75" hidden="false" customHeight="true" outlineLevel="0" collapsed="false">
      <c r="A41" s="208" t="n">
        <v>4</v>
      </c>
      <c r="B41" s="208" t="s">
        <v>2067</v>
      </c>
      <c r="C41" s="4" t="s">
        <v>2068</v>
      </c>
      <c r="D41" s="4" t="s">
        <v>2069</v>
      </c>
      <c r="E41" s="4" t="s">
        <v>2070</v>
      </c>
      <c r="F41" s="4" t="s">
        <v>2071</v>
      </c>
      <c r="G41" s="4" t="s">
        <v>702</v>
      </c>
    </row>
    <row r="42" customFormat="false" ht="45.75" hidden="false" customHeight="true" outlineLevel="0" collapsed="false">
      <c r="A42" s="4" t="n">
        <v>5</v>
      </c>
      <c r="B42" s="4" t="s">
        <v>2072</v>
      </c>
      <c r="C42" s="4" t="s">
        <v>2073</v>
      </c>
      <c r="D42" s="4" t="s">
        <v>2074</v>
      </c>
      <c r="E42" s="4" t="s">
        <v>2075</v>
      </c>
      <c r="F42" s="4" t="s">
        <v>2076</v>
      </c>
      <c r="G42" s="4" t="s">
        <v>2066</v>
      </c>
    </row>
    <row r="43" customFormat="false" ht="15" hidden="false" customHeight="true" outlineLevel="0" collapsed="false">
      <c r="A43" s="4"/>
      <c r="B43" s="4"/>
      <c r="C43" s="4"/>
      <c r="D43" s="4"/>
      <c r="E43" s="4"/>
      <c r="F43" s="4"/>
      <c r="G43" s="4"/>
    </row>
    <row r="44" customFormat="false" ht="15" hidden="false" customHeight="true" outlineLevel="0" collapsed="false">
      <c r="A44" s="202" t="s">
        <v>2077</v>
      </c>
      <c r="B44" s="202"/>
      <c r="C44" s="202"/>
      <c r="D44" s="202"/>
      <c r="E44" s="202"/>
      <c r="F44" s="202"/>
      <c r="G44" s="202"/>
    </row>
    <row r="45" customFormat="false" ht="15" hidden="false" customHeight="true" outlineLevel="0" collapsed="false">
      <c r="A45" s="198" t="s">
        <v>2078</v>
      </c>
      <c r="B45" s="198" t="s">
        <v>572</v>
      </c>
      <c r="C45" s="4"/>
      <c r="D45" s="4"/>
      <c r="E45" s="4"/>
      <c r="F45" s="4"/>
      <c r="G45" s="4"/>
    </row>
    <row r="46" customFormat="false" ht="90.75" hidden="false" customHeight="true" outlineLevel="0" collapsed="false">
      <c r="A46" s="208" t="s">
        <v>953</v>
      </c>
      <c r="B46" s="208" t="s">
        <v>2079</v>
      </c>
      <c r="C46" s="4"/>
      <c r="D46" s="4"/>
      <c r="E46" s="4"/>
      <c r="F46" s="4"/>
      <c r="G46" s="4"/>
    </row>
    <row r="47" customFormat="false" ht="90.75" hidden="false" customHeight="true" outlineLevel="0" collapsed="false">
      <c r="A47" s="208" t="s">
        <v>956</v>
      </c>
      <c r="B47" s="208" t="s">
        <v>2080</v>
      </c>
      <c r="C47" s="4"/>
      <c r="D47" s="4"/>
      <c r="E47" s="4"/>
      <c r="F47" s="4"/>
      <c r="G47" s="4"/>
    </row>
    <row r="48" customFormat="false" ht="79.5" hidden="false" customHeight="true" outlineLevel="0" collapsed="false">
      <c r="A48" s="208" t="s">
        <v>958</v>
      </c>
      <c r="B48" s="208" t="s">
        <v>2081</v>
      </c>
      <c r="C48" s="4"/>
      <c r="D48" s="4"/>
      <c r="E48" s="4"/>
      <c r="F48" s="4"/>
      <c r="G48" s="4"/>
    </row>
    <row r="49" customFormat="false" ht="15" hidden="false" customHeight="true" outlineLevel="0" collapsed="false">
      <c r="A49" s="208"/>
      <c r="B49" s="208"/>
      <c r="C49" s="4"/>
      <c r="D49" s="4"/>
      <c r="E49" s="4"/>
      <c r="F49" s="4"/>
      <c r="G49" s="4"/>
    </row>
  </sheetData>
  <mergeCells count="7">
    <mergeCell ref="A1:G1"/>
    <mergeCell ref="A2:G2"/>
    <mergeCell ref="A4:G4"/>
    <mergeCell ref="A14:G14"/>
    <mergeCell ref="A16:G16"/>
    <mergeCell ref="A36:G36"/>
    <mergeCell ref="A44:G4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9"/>
    <col collapsed="false" customWidth="true" hidden="false" outlineLevel="0" max="4" min="2" style="17" width="18"/>
    <col collapsed="false" customWidth="true" hidden="false" outlineLevel="0" max="5" min="5" style="17" width="44"/>
    <col collapsed="false" customWidth="true" hidden="false" outlineLevel="0" max="6" min="6" style="17" width="43"/>
  </cols>
  <sheetData>
    <row r="1" customFormat="false" ht="17.25" hidden="false" customHeight="true" outlineLevel="0" collapsed="false">
      <c r="A1" s="203" t="s">
        <v>2082</v>
      </c>
      <c r="B1" s="203"/>
      <c r="C1" s="203"/>
      <c r="D1" s="203"/>
      <c r="E1" s="203"/>
      <c r="F1" s="203"/>
    </row>
    <row r="2" customFormat="false" ht="15" hidden="false" customHeight="true" outlineLevel="0" collapsed="false">
      <c r="A2" s="36" t="s">
        <v>2083</v>
      </c>
      <c r="B2" s="36"/>
      <c r="C2" s="36"/>
      <c r="D2" s="36"/>
      <c r="E2" s="36"/>
      <c r="F2" s="36"/>
    </row>
    <row r="3" customFormat="false" ht="15" hidden="false" customHeight="true" outlineLevel="0" collapsed="false">
      <c r="A3" s="4"/>
      <c r="B3" s="4"/>
      <c r="C3" s="4"/>
      <c r="D3" s="4"/>
      <c r="E3" s="4"/>
      <c r="F3" s="4"/>
    </row>
    <row r="4" customFormat="false" ht="15" hidden="false" customHeight="true" outlineLevel="0" collapsed="false">
      <c r="A4" s="202" t="s">
        <v>2084</v>
      </c>
      <c r="B4" s="202"/>
      <c r="C4" s="202"/>
      <c r="D4" s="202"/>
      <c r="E4" s="202"/>
      <c r="F4" s="202"/>
    </row>
    <row r="5" customFormat="false" ht="15" hidden="false" customHeight="true" outlineLevel="0" collapsed="false">
      <c r="A5" s="198" t="s">
        <v>37</v>
      </c>
      <c r="B5" s="198" t="s">
        <v>2085</v>
      </c>
      <c r="C5" s="198" t="s">
        <v>2086</v>
      </c>
      <c r="D5" s="198" t="s">
        <v>827</v>
      </c>
      <c r="E5" s="198" t="s">
        <v>2087</v>
      </c>
      <c r="F5" s="198" t="s">
        <v>40</v>
      </c>
    </row>
    <row r="6" customFormat="false" ht="23.25" hidden="false" customHeight="true" outlineLevel="0" collapsed="false">
      <c r="A6" s="4" t="s">
        <v>2088</v>
      </c>
      <c r="B6" s="4" t="n">
        <v>14.865652</v>
      </c>
      <c r="C6" s="4" t="s">
        <v>2089</v>
      </c>
      <c r="D6" s="4" t="s">
        <v>2090</v>
      </c>
      <c r="E6" s="4" t="s">
        <v>2091</v>
      </c>
      <c r="F6" s="4" t="s">
        <v>2092</v>
      </c>
    </row>
    <row r="7" customFormat="false" ht="57" hidden="false" customHeight="true" outlineLevel="0" collapsed="false">
      <c r="A7" s="4" t="s">
        <v>2093</v>
      </c>
      <c r="B7" s="4" t="n">
        <v>46000</v>
      </c>
      <c r="C7" s="4" t="s">
        <v>2094</v>
      </c>
      <c r="D7" s="4" t="s">
        <v>2095</v>
      </c>
      <c r="E7" s="4" t="s">
        <v>2096</v>
      </c>
      <c r="F7" s="4" t="s">
        <v>2097</v>
      </c>
    </row>
    <row r="8" customFormat="false" ht="23.25" hidden="false" customHeight="true" outlineLevel="0" collapsed="false">
      <c r="A8" s="4" t="s">
        <v>2098</v>
      </c>
      <c r="B8" s="143" t="n">
        <f aca="false">B6*B7/1000</f>
        <v>683.819992</v>
      </c>
      <c r="C8" s="4" t="s">
        <v>636</v>
      </c>
      <c r="D8" s="4" t="s">
        <v>2099</v>
      </c>
      <c r="E8" s="4" t="s">
        <v>2100</v>
      </c>
      <c r="F8" s="4"/>
    </row>
    <row r="9" customFormat="false" ht="34.5" hidden="false" customHeight="true" outlineLevel="0" collapsed="false">
      <c r="A9" s="4" t="s">
        <v>2101</v>
      </c>
      <c r="B9" s="211" t="n">
        <v>0.916</v>
      </c>
      <c r="C9" s="4" t="s">
        <v>2102</v>
      </c>
      <c r="D9" s="4" t="s">
        <v>2103</v>
      </c>
      <c r="E9" s="4" t="s">
        <v>2104</v>
      </c>
      <c r="F9" s="4" t="s">
        <v>2092</v>
      </c>
    </row>
    <row r="10" customFormat="false" ht="34.5" hidden="false" customHeight="true" outlineLevel="0" collapsed="false">
      <c r="A10" s="4" t="s">
        <v>2105</v>
      </c>
      <c r="B10" s="211" t="n">
        <f aca="false">B8*B9</f>
        <v>626.379112672</v>
      </c>
      <c r="C10" s="4" t="s">
        <v>636</v>
      </c>
      <c r="D10" s="4" t="s">
        <v>2106</v>
      </c>
      <c r="E10" s="4" t="s">
        <v>2107</v>
      </c>
      <c r="F10" s="4"/>
    </row>
    <row r="11" customFormat="false" ht="23.25" hidden="false" customHeight="true" outlineLevel="0" collapsed="false">
      <c r="A11" s="4" t="s">
        <v>2108</v>
      </c>
      <c r="B11" s="211" t="n">
        <v>0.03</v>
      </c>
      <c r="C11" s="4" t="s">
        <v>211</v>
      </c>
      <c r="D11" s="4" t="s">
        <v>2109</v>
      </c>
      <c r="E11" s="4"/>
      <c r="F11" s="4"/>
    </row>
    <row r="12" customFormat="false" ht="23.25" hidden="false" customHeight="true" outlineLevel="0" collapsed="false">
      <c r="A12" s="4" t="s">
        <v>2110</v>
      </c>
      <c r="B12" s="211" t="n">
        <v>0.03</v>
      </c>
      <c r="C12" s="4" t="s">
        <v>211</v>
      </c>
      <c r="D12" s="4" t="s">
        <v>2109</v>
      </c>
      <c r="E12" s="4"/>
      <c r="F12" s="4"/>
    </row>
    <row r="13" customFormat="false" ht="15" hidden="false" customHeight="true" outlineLevel="0" collapsed="false">
      <c r="A13" s="4" t="s">
        <v>2111</v>
      </c>
      <c r="B13" s="211" t="n">
        <v>0.07</v>
      </c>
      <c r="C13" s="4" t="s">
        <v>211</v>
      </c>
      <c r="D13" s="4" t="s">
        <v>2112</v>
      </c>
      <c r="E13" s="4"/>
      <c r="F13" s="4"/>
    </row>
    <row r="14" customFormat="false" ht="15" hidden="false" customHeight="true" outlineLevel="0" collapsed="false">
      <c r="A14" s="4" t="s">
        <v>2113</v>
      </c>
      <c r="B14" s="211" t="n">
        <v>0.07</v>
      </c>
      <c r="C14" s="4" t="s">
        <v>211</v>
      </c>
      <c r="D14" s="4" t="s">
        <v>2112</v>
      </c>
      <c r="E14" s="4"/>
      <c r="F14" s="4"/>
    </row>
    <row r="15" customFormat="false" ht="34.5" hidden="false" customHeight="true" outlineLevel="0" collapsed="false">
      <c r="A15" s="4" t="s">
        <v>2114</v>
      </c>
      <c r="B15" s="143" t="n">
        <f aca="false">B8*B11+B10*B12</f>
        <v>39.30597314016</v>
      </c>
      <c r="C15" s="4" t="s">
        <v>636</v>
      </c>
      <c r="D15" s="4" t="s">
        <v>2115</v>
      </c>
      <c r="E15" s="4"/>
      <c r="F15" s="4"/>
    </row>
    <row r="16" customFormat="false" ht="23.25" hidden="false" customHeight="true" outlineLevel="0" collapsed="false">
      <c r="A16" s="4" t="s">
        <v>2116</v>
      </c>
      <c r="B16" s="143" t="n">
        <f aca="false">B8*B13+B10*B14</f>
        <v>91.71393732704</v>
      </c>
      <c r="C16" s="4" t="s">
        <v>636</v>
      </c>
      <c r="D16" s="4" t="s">
        <v>2117</v>
      </c>
      <c r="E16" s="4"/>
      <c r="F16" s="4"/>
    </row>
    <row r="17" customFormat="false" ht="34.5" hidden="false" customHeight="true" outlineLevel="0" collapsed="false">
      <c r="A17" s="144" t="s">
        <v>2118</v>
      </c>
      <c r="B17" s="200" t="n">
        <f aca="false">B16-B15</f>
        <v>52.40796418688</v>
      </c>
      <c r="C17" s="144" t="s">
        <v>636</v>
      </c>
      <c r="D17" s="144" t="s">
        <v>2119</v>
      </c>
      <c r="E17" s="144" t="s">
        <v>2120</v>
      </c>
      <c r="F17" s="144"/>
    </row>
    <row r="18" customFormat="false" ht="15" hidden="false" customHeight="true" outlineLevel="0" collapsed="false">
      <c r="A18" s="4"/>
      <c r="B18" s="143"/>
      <c r="C18" s="4"/>
      <c r="D18" s="4"/>
      <c r="E18" s="4"/>
      <c r="F18" s="4"/>
    </row>
    <row r="19" customFormat="false" ht="15" hidden="false" customHeight="true" outlineLevel="0" collapsed="false">
      <c r="A19" s="202" t="s">
        <v>2121</v>
      </c>
      <c r="B19" s="202"/>
      <c r="C19" s="202"/>
      <c r="D19" s="202"/>
      <c r="E19" s="202"/>
      <c r="F19" s="202"/>
    </row>
    <row r="20" customFormat="false" ht="15" hidden="false" customHeight="true" outlineLevel="0" collapsed="false">
      <c r="A20" s="198" t="s">
        <v>2122</v>
      </c>
      <c r="B20" s="199" t="s">
        <v>1878</v>
      </c>
      <c r="C20" s="198" t="s">
        <v>827</v>
      </c>
      <c r="D20" s="198" t="s">
        <v>1921</v>
      </c>
      <c r="E20" s="198" t="s">
        <v>2123</v>
      </c>
      <c r="F20" s="198" t="s">
        <v>40</v>
      </c>
    </row>
    <row r="21" customFormat="false" ht="45.75" hidden="false" customHeight="true" outlineLevel="0" collapsed="false">
      <c r="A21" s="4" t="s">
        <v>2124</v>
      </c>
      <c r="B21" s="143" t="n">
        <v>18</v>
      </c>
      <c r="C21" s="4" t="s">
        <v>2125</v>
      </c>
      <c r="D21" s="4" t="s">
        <v>2126</v>
      </c>
      <c r="E21" s="4" t="s">
        <v>2127</v>
      </c>
      <c r="F21" s="4" t="s">
        <v>2128</v>
      </c>
    </row>
    <row r="22" customFormat="false" ht="45.75" hidden="false" customHeight="true" outlineLevel="0" collapsed="false">
      <c r="A22" s="4" t="s">
        <v>2129</v>
      </c>
      <c r="B22" s="143" t="n">
        <f aca="false">319391*579.59*12/1000000000</f>
        <v>2.22138995628</v>
      </c>
      <c r="C22" s="4" t="s">
        <v>2130</v>
      </c>
      <c r="D22" s="4" t="s">
        <v>2131</v>
      </c>
      <c r="E22" s="4" t="s">
        <v>2132</v>
      </c>
      <c r="F22" s="4" t="s">
        <v>2133</v>
      </c>
    </row>
    <row r="23" customFormat="false" ht="45.75" hidden="false" customHeight="true" outlineLevel="0" collapsed="false">
      <c r="A23" s="4" t="s">
        <v>2134</v>
      </c>
      <c r="B23" s="143" t="n">
        <v>190650</v>
      </c>
      <c r="C23" s="4" t="s">
        <v>2135</v>
      </c>
      <c r="D23" s="4" t="s">
        <v>2136</v>
      </c>
      <c r="E23" s="4" t="s">
        <v>2137</v>
      </c>
      <c r="F23" s="4" t="s">
        <v>2138</v>
      </c>
    </row>
    <row r="24" customFormat="false" ht="45.75" hidden="false" customHeight="true" outlineLevel="0" collapsed="false">
      <c r="A24" s="4" t="s">
        <v>2139</v>
      </c>
      <c r="B24" s="143" t="n">
        <v>0</v>
      </c>
      <c r="C24" s="4" t="s">
        <v>2140</v>
      </c>
      <c r="D24" s="4" t="s">
        <v>2141</v>
      </c>
      <c r="E24" s="4" t="s">
        <v>2142</v>
      </c>
      <c r="F24" s="4"/>
    </row>
    <row r="25" customFormat="false" ht="45.75" hidden="false" customHeight="true" outlineLevel="0" collapsed="false">
      <c r="A25" s="144" t="s">
        <v>2143</v>
      </c>
      <c r="B25" s="200" t="n">
        <f aca="false">B17+B21</f>
        <v>70.40796418688</v>
      </c>
      <c r="C25" s="144" t="s">
        <v>636</v>
      </c>
      <c r="D25" s="144" t="s">
        <v>2144</v>
      </c>
      <c r="E25" s="144" t="s">
        <v>2145</v>
      </c>
      <c r="F25" s="144"/>
    </row>
    <row r="26" customFormat="false" ht="34.5" hidden="false" customHeight="true" outlineLevel="0" collapsed="false">
      <c r="A26" s="144" t="s">
        <v>2146</v>
      </c>
      <c r="B26" s="200" t="n">
        <f aca="false">B25+B22</f>
        <v>72.62935414316</v>
      </c>
      <c r="C26" s="144" t="s">
        <v>636</v>
      </c>
      <c r="D26" s="144" t="s">
        <v>2147</v>
      </c>
      <c r="E26" s="144" t="s">
        <v>2148</v>
      </c>
      <c r="F26" s="144"/>
    </row>
    <row r="27" customFormat="false" ht="15" hidden="false" customHeight="true" outlineLevel="0" collapsed="false">
      <c r="A27" s="4"/>
      <c r="B27" s="4"/>
      <c r="C27" s="4"/>
      <c r="D27" s="4"/>
      <c r="E27" s="4"/>
      <c r="F27" s="4"/>
    </row>
    <row r="28" customFormat="false" ht="15" hidden="false" customHeight="true" outlineLevel="0" collapsed="false">
      <c r="A28" s="202" t="s">
        <v>2149</v>
      </c>
      <c r="B28" s="202"/>
      <c r="C28" s="202"/>
      <c r="D28" s="202"/>
      <c r="E28" s="202"/>
      <c r="F28" s="202"/>
    </row>
    <row r="29" customFormat="false" ht="15" hidden="false" customHeight="true" outlineLevel="0" collapsed="false">
      <c r="A29" s="198" t="s">
        <v>687</v>
      </c>
      <c r="B29" s="198" t="s">
        <v>953</v>
      </c>
      <c r="C29" s="198" t="s">
        <v>956</v>
      </c>
      <c r="D29" s="198" t="s">
        <v>958</v>
      </c>
      <c r="E29" s="198" t="s">
        <v>2150</v>
      </c>
      <c r="F29" s="198" t="s">
        <v>691</v>
      </c>
    </row>
    <row r="30" customFormat="false" ht="15" hidden="false" customHeight="true" outlineLevel="0" collapsed="false">
      <c r="A30" s="4" t="s">
        <v>2151</v>
      </c>
      <c r="B30" s="143" t="n">
        <f aca="false">$B$17*(1+SS_Year_0_4_10!$B$8)^0</f>
        <v>52.40796418688</v>
      </c>
      <c r="C30" s="143" t="n">
        <f aca="false">$B$17*(1+SS_Year_0_4_10!$B$8)^4</f>
        <v>54.9691902794877</v>
      </c>
      <c r="D30" s="143" t="n">
        <f aca="false">$B$17*(1+SS_Year_0_4_10!$B$8)^10</f>
        <v>59.0476223456802</v>
      </c>
      <c r="E30" s="4"/>
      <c r="F30" s="4" t="s">
        <v>708</v>
      </c>
    </row>
    <row r="31" customFormat="false" ht="15" hidden="false" customHeight="true" outlineLevel="0" collapsed="false">
      <c r="A31" s="4" t="s">
        <v>2152</v>
      </c>
      <c r="B31" s="143" t="n">
        <f aca="false">$B$21*(1+SS_Year_0_4_10!$B$8)^0*IF(0&lt;=4,1+(SS_Year_0_4_10!$B$9-1)*0/4,SS_Year_0_4_10!$B$9*(1+(SS_Year_0_4_10!$B$10/SS_Year_0_4_10!$B$9-1)*(0-4)/6))</f>
        <v>18</v>
      </c>
      <c r="C31" s="143" t="n">
        <f aca="false">$B$21*(1+SS_Year_0_4_10!$B$8)^4*IF(4&lt;=4,1+(SS_Year_0_4_10!$B$9-1)*4/4,SS_Year_0_4_10!$B$9*(1+(SS_Year_0_4_10!$B$10/SS_Year_0_4_10!$B$9-1)*(4-4)/6))</f>
        <v>19.3341647796204</v>
      </c>
      <c r="D31" s="143" t="n">
        <f aca="false">$B$21*(1+SS_Year_0_4_10!$B$8)^10*IF(10&lt;=4,1+(SS_Year_0_4_10!$B$9-1)*10/4,SS_Year_0_4_10!$B$9*(1+(SS_Year_0_4_10!$B$10/SS_Year_0_4_10!$B$9-1)*(10-4)/6))</f>
        <v>20.9269986176999</v>
      </c>
      <c r="E31" s="4"/>
      <c r="F31" s="4" t="s">
        <v>708</v>
      </c>
    </row>
    <row r="32" customFormat="false" ht="15" hidden="false" customHeight="true" outlineLevel="0" collapsed="false">
      <c r="A32" s="4" t="s">
        <v>2153</v>
      </c>
      <c r="B32" s="143" t="n">
        <f aca="false">$B$22</f>
        <v>2.22138995628</v>
      </c>
      <c r="C32" s="143" t="n">
        <f aca="false">$B$22</f>
        <v>2.22138995628</v>
      </c>
      <c r="D32" s="143" t="n">
        <f aca="false">$B$22</f>
        <v>2.22138995628</v>
      </c>
      <c r="E32" s="4"/>
      <c r="F32" s="4" t="s">
        <v>2024</v>
      </c>
    </row>
    <row r="33" customFormat="false" ht="15" hidden="false" customHeight="true" outlineLevel="0" collapsed="false">
      <c r="A33" s="144" t="s">
        <v>2154</v>
      </c>
      <c r="B33" s="200" t="n">
        <f aca="false">B30+B31+B32</f>
        <v>72.62935414316</v>
      </c>
      <c r="C33" s="200" t="n">
        <f aca="false">C30+C31+C32</f>
        <v>76.5247450153881</v>
      </c>
      <c r="D33" s="200" t="n">
        <f aca="false">D30+D31+D32</f>
        <v>82.1960109196602</v>
      </c>
      <c r="E33" s="144"/>
      <c r="F33" s="144" t="s">
        <v>708</v>
      </c>
    </row>
    <row r="34" customFormat="false" ht="15" hidden="false" customHeight="true" outlineLevel="0" collapsed="false">
      <c r="A34" s="144" t="s">
        <v>2155</v>
      </c>
      <c r="B34" s="200" t="n">
        <f aca="false">MAX(0,SS_Year_0_4_10!B22-SS_Year_0_4_10!B21-B30-B31)</f>
        <v>217.67978658312</v>
      </c>
      <c r="C34" s="200" t="n">
        <f aca="false">MAX(0,SS_Year_0_4_10!C22-SS_Year_0_4_10!C21-C30-C31)</f>
        <v>229.894681279245</v>
      </c>
      <c r="D34" s="200" t="n">
        <f aca="false">MAX(0,SS_Year_0_4_10!D22-SS_Year_0_4_10!D21-D30-D31)</f>
        <v>193.224335805155</v>
      </c>
      <c r="E34" s="144"/>
      <c r="F34" s="144" t="s">
        <v>708</v>
      </c>
    </row>
    <row r="35" customFormat="false" ht="15" hidden="false" customHeight="true" outlineLevel="0" collapsed="false">
      <c r="A35" s="144" t="s">
        <v>973</v>
      </c>
      <c r="B35" s="200" t="n">
        <f aca="false">MIN(B34,SS_Year_0_4_10!B26)</f>
        <v>217.67978658312</v>
      </c>
      <c r="C35" s="200" t="n">
        <f aca="false">MIN(C34,SS_Year_0_4_10!C26)</f>
        <v>229.894681279245</v>
      </c>
      <c r="D35" s="200" t="n">
        <f aca="false">MIN(D34,SS_Year_0_4_10!D26)</f>
        <v>193.224335805155</v>
      </c>
      <c r="E35" s="144"/>
      <c r="F35" s="144" t="s">
        <v>708</v>
      </c>
    </row>
    <row r="36" customFormat="false" ht="15" hidden="false" customHeight="true" outlineLevel="0" collapsed="false">
      <c r="A36" s="144" t="s">
        <v>975</v>
      </c>
      <c r="B36" s="200" t="n">
        <f aca="false">MAX(0,B34-B35)</f>
        <v>0</v>
      </c>
      <c r="C36" s="200" t="n">
        <f aca="false">MAX(0,C34-C35)</f>
        <v>0</v>
      </c>
      <c r="D36" s="200" t="n">
        <f aca="false">MAX(0,D34-D35)</f>
        <v>0</v>
      </c>
      <c r="E36" s="144"/>
      <c r="F36" s="144" t="s">
        <v>708</v>
      </c>
    </row>
    <row r="37" customFormat="false" ht="15" hidden="false" customHeight="true" outlineLevel="0" collapsed="false">
      <c r="A37" s="144" t="s">
        <v>2156</v>
      </c>
      <c r="B37" s="200" t="n">
        <f aca="false">MAX(0,SS_Year_0_4_10!B26-B35)</f>
        <v>26.8297054668801</v>
      </c>
      <c r="C37" s="200" t="n">
        <f aca="false">MAX(0,SS_Year_0_4_10!C26-C35)</f>
        <v>14.6148107707547</v>
      </c>
      <c r="D37" s="200" t="n">
        <f aca="false">MAX(0,SS_Year_0_4_10!D26-D35)</f>
        <v>51.2851562448449</v>
      </c>
      <c r="E37" s="144"/>
      <c r="F37" s="144" t="s">
        <v>708</v>
      </c>
    </row>
    <row r="38" customFormat="false" ht="15" hidden="false" customHeight="true" outlineLevel="0" collapsed="false">
      <c r="A38" s="144" t="s">
        <v>2157</v>
      </c>
      <c r="B38" s="200" t="n">
        <f aca="false">B37/2</f>
        <v>13.41485273344</v>
      </c>
      <c r="C38" s="200" t="n">
        <f aca="false">C37/2</f>
        <v>7.30740538537735</v>
      </c>
      <c r="D38" s="200" t="n">
        <f aca="false">D37/2</f>
        <v>25.6425781224224</v>
      </c>
      <c r="E38" s="144"/>
      <c r="F38" s="144" t="s">
        <v>708</v>
      </c>
    </row>
    <row r="39" customFormat="false" ht="15" hidden="false" customHeight="true" outlineLevel="0" collapsed="false">
      <c r="A39" s="144" t="s">
        <v>2158</v>
      </c>
      <c r="B39" s="200" t="n">
        <f aca="false">B37/2</f>
        <v>13.41485273344</v>
      </c>
      <c r="C39" s="200" t="n">
        <f aca="false">C37/2</f>
        <v>7.30740538537735</v>
      </c>
      <c r="D39" s="200" t="n">
        <f aca="false">D37/2</f>
        <v>25.6425781224224</v>
      </c>
      <c r="E39" s="144"/>
      <c r="F39" s="144" t="s">
        <v>708</v>
      </c>
    </row>
    <row r="40" customFormat="false" ht="15" hidden="false" customHeight="true" outlineLevel="0" collapsed="false">
      <c r="A40" s="144" t="s">
        <v>2043</v>
      </c>
      <c r="B40" s="200" t="n">
        <f aca="false">SS_Year_0_4_10!$B$11+SS_Year_0_4_10!$B$12+B32-B34</f>
        <v>183.985766530262</v>
      </c>
      <c r="C40" s="200" t="n">
        <f aca="false">SS_Year_0_4_10!$B$11+SS_Year_0_4_10!$B$12+C32-C34</f>
        <v>171.770871834137</v>
      </c>
      <c r="D40" s="200" t="n">
        <f aca="false">SS_Year_0_4_10!$B$11+SS_Year_0_4_10!$B$12+D32-D34</f>
        <v>208.441217308227</v>
      </c>
      <c r="E40" s="144"/>
      <c r="F40" s="144" t="s">
        <v>708</v>
      </c>
    </row>
    <row r="41" customFormat="false" ht="15" hidden="false" customHeight="true" outlineLevel="0" collapsed="false">
      <c r="A41" s="4"/>
      <c r="B41" s="4"/>
      <c r="C41" s="4"/>
      <c r="D41" s="4"/>
      <c r="E41" s="4"/>
      <c r="F41" s="4"/>
    </row>
    <row r="42" customFormat="false" ht="15" hidden="false" customHeight="true" outlineLevel="0" collapsed="false">
      <c r="A42" s="202" t="s">
        <v>2159</v>
      </c>
      <c r="B42" s="202"/>
      <c r="C42" s="202"/>
      <c r="D42" s="202"/>
      <c r="E42" s="202"/>
      <c r="F42" s="202"/>
    </row>
    <row r="43" customFormat="false" ht="23.25" hidden="false" customHeight="true" outlineLevel="0" collapsed="false">
      <c r="A43" s="48" t="s">
        <v>2160</v>
      </c>
      <c r="B43" s="48"/>
      <c r="C43" s="48"/>
      <c r="D43" s="48"/>
      <c r="E43" s="48"/>
      <c r="F43" s="48"/>
    </row>
  </sheetData>
  <mergeCells count="7">
    <mergeCell ref="A1:F1"/>
    <mergeCell ref="A2:F2"/>
    <mergeCell ref="A4:F4"/>
    <mergeCell ref="A19:F19"/>
    <mergeCell ref="A28:F28"/>
    <mergeCell ref="A42:F42"/>
    <mergeCell ref="A43:F4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8"/>
    <col collapsed="false" customWidth="true" hidden="false" outlineLevel="0" max="4" min="2" style="17" width="18"/>
    <col collapsed="false" customWidth="true" hidden="false" outlineLevel="0" max="5" min="5" style="17" width="38"/>
    <col collapsed="false" customWidth="true" hidden="false" outlineLevel="0" max="6" min="6" style="17" width="42"/>
    <col collapsed="false" customWidth="true" hidden="false" outlineLevel="0" max="7" min="7" style="17" width="14"/>
  </cols>
  <sheetData>
    <row r="1" customFormat="false" ht="17.25" hidden="false" customHeight="true" outlineLevel="0" collapsed="false">
      <c r="A1" s="203" t="s">
        <v>2161</v>
      </c>
      <c r="B1" s="203"/>
      <c r="C1" s="203"/>
      <c r="D1" s="203"/>
      <c r="E1" s="203"/>
      <c r="F1" s="203"/>
      <c r="G1" s="203"/>
    </row>
    <row r="2" customFormat="false" ht="15" hidden="false" customHeight="true" outlineLevel="0" collapsed="false">
      <c r="A2" s="36" t="s">
        <v>2162</v>
      </c>
      <c r="B2" s="36"/>
      <c r="C2" s="36"/>
      <c r="D2" s="36"/>
      <c r="E2" s="36"/>
      <c r="F2" s="36"/>
      <c r="G2" s="36"/>
    </row>
    <row r="3" customFormat="false" ht="15" hidden="false" customHeight="true" outlineLevel="0" collapsed="false">
      <c r="A3" s="4"/>
      <c r="B3" s="4"/>
      <c r="C3" s="4"/>
      <c r="D3" s="4"/>
      <c r="E3" s="4"/>
      <c r="F3" s="4"/>
      <c r="G3" s="4"/>
    </row>
    <row r="4" customFormat="false" ht="15" hidden="false" customHeight="true" outlineLevel="0" collapsed="false">
      <c r="A4" s="202" t="s">
        <v>2163</v>
      </c>
      <c r="B4" s="202"/>
      <c r="C4" s="202"/>
      <c r="D4" s="202"/>
      <c r="E4" s="202"/>
      <c r="F4" s="202"/>
      <c r="G4" s="202"/>
    </row>
    <row r="5" customFormat="false" ht="15" hidden="false" customHeight="true" outlineLevel="0" collapsed="false">
      <c r="A5" s="198" t="s">
        <v>37</v>
      </c>
      <c r="B5" s="198" t="s">
        <v>2085</v>
      </c>
      <c r="C5" s="198" t="s">
        <v>689</v>
      </c>
      <c r="D5" s="198" t="s">
        <v>2164</v>
      </c>
      <c r="E5" s="198" t="s">
        <v>2165</v>
      </c>
      <c r="F5" s="198" t="s">
        <v>40</v>
      </c>
      <c r="G5" s="198" t="s">
        <v>691</v>
      </c>
    </row>
    <row r="6" customFormat="false" ht="45.75" hidden="false" customHeight="true" outlineLevel="0" collapsed="false">
      <c r="A6" s="4" t="s">
        <v>2166</v>
      </c>
      <c r="B6" s="47" t="n">
        <v>68000</v>
      </c>
      <c r="C6" s="47" t="s">
        <v>636</v>
      </c>
      <c r="D6" s="47" t="s">
        <v>2167</v>
      </c>
      <c r="E6" s="4" t="s">
        <v>2168</v>
      </c>
      <c r="F6" s="4" t="s">
        <v>2169</v>
      </c>
      <c r="G6" s="4" t="s">
        <v>2170</v>
      </c>
    </row>
    <row r="7" customFormat="false" ht="34.5" hidden="false" customHeight="true" outlineLevel="0" collapsed="false">
      <c r="A7" s="4" t="s">
        <v>2171</v>
      </c>
      <c r="B7" s="47" t="n">
        <v>0.0073</v>
      </c>
      <c r="C7" s="47" t="s">
        <v>1646</v>
      </c>
      <c r="D7" s="47" t="s">
        <v>2172</v>
      </c>
      <c r="E7" s="4" t="s">
        <v>2173</v>
      </c>
      <c r="F7" s="4"/>
      <c r="G7" s="4" t="s">
        <v>702</v>
      </c>
    </row>
    <row r="8" customFormat="false" ht="23.25" hidden="false" customHeight="true" outlineLevel="0" collapsed="false">
      <c r="A8" s="144" t="s">
        <v>2174</v>
      </c>
      <c r="B8" s="212" t="n">
        <f aca="false">B6*B7</f>
        <v>496.4</v>
      </c>
      <c r="C8" s="212" t="s">
        <v>636</v>
      </c>
      <c r="D8" s="212" t="s">
        <v>2175</v>
      </c>
      <c r="E8" s="144" t="s">
        <v>2176</v>
      </c>
      <c r="F8" s="144"/>
      <c r="G8" s="144" t="s">
        <v>708</v>
      </c>
    </row>
    <row r="9" customFormat="false" ht="34.5" hidden="false" customHeight="true" outlineLevel="0" collapsed="false">
      <c r="A9" s="4" t="s">
        <v>2177</v>
      </c>
      <c r="B9" s="47" t="n">
        <v>1</v>
      </c>
      <c r="C9" s="47" t="s">
        <v>2178</v>
      </c>
      <c r="D9" s="47" t="s">
        <v>2179</v>
      </c>
      <c r="E9" s="4" t="s">
        <v>2180</v>
      </c>
      <c r="F9" s="4"/>
      <c r="G9" s="4" t="s">
        <v>702</v>
      </c>
    </row>
    <row r="10" customFormat="false" ht="34.5" hidden="false" customHeight="true" outlineLevel="0" collapsed="false">
      <c r="A10" s="4" t="s">
        <v>2181</v>
      </c>
      <c r="B10" s="47" t="n">
        <v>0.012</v>
      </c>
      <c r="C10" s="47" t="s">
        <v>211</v>
      </c>
      <c r="D10" s="47" t="s">
        <v>2182</v>
      </c>
      <c r="E10" s="4" t="s">
        <v>1991</v>
      </c>
      <c r="F10" s="4"/>
      <c r="G10" s="4" t="s">
        <v>2183</v>
      </c>
    </row>
    <row r="11" customFormat="false" ht="15" hidden="false" customHeight="true" outlineLevel="0" collapsed="false">
      <c r="A11" s="4"/>
      <c r="B11" s="47"/>
      <c r="C11" s="47"/>
      <c r="D11" s="47"/>
      <c r="E11" s="4"/>
      <c r="F11" s="4"/>
      <c r="G11" s="4"/>
    </row>
    <row r="12" customFormat="false" ht="15" hidden="false" customHeight="true" outlineLevel="0" collapsed="false">
      <c r="A12" s="202" t="s">
        <v>2184</v>
      </c>
      <c r="B12" s="202"/>
      <c r="C12" s="202"/>
      <c r="D12" s="202"/>
      <c r="E12" s="202"/>
      <c r="F12" s="202"/>
      <c r="G12" s="202"/>
    </row>
    <row r="13" customFormat="false" ht="23.25" hidden="false" customHeight="true" outlineLevel="0" collapsed="false">
      <c r="A13" s="198" t="s">
        <v>2185</v>
      </c>
      <c r="B13" s="205" t="s">
        <v>2186</v>
      </c>
      <c r="C13" s="205" t="s">
        <v>2187</v>
      </c>
      <c r="D13" s="205" t="s">
        <v>2188</v>
      </c>
      <c r="E13" s="198" t="s">
        <v>690</v>
      </c>
      <c r="F13" s="198" t="s">
        <v>40</v>
      </c>
      <c r="G13" s="198" t="s">
        <v>691</v>
      </c>
    </row>
    <row r="14" customFormat="false" ht="15" hidden="false" customHeight="true" outlineLevel="0" collapsed="false">
      <c r="A14" s="4" t="n">
        <v>50</v>
      </c>
      <c r="B14" s="47" t="n">
        <f aca="false">A14*1000*$B$7</f>
        <v>365</v>
      </c>
      <c r="C14" s="47" t="n">
        <f aca="false">MIN(B14,SS_Year_0_4_10!B23)</f>
        <v>205.67978658312</v>
      </c>
      <c r="D14" s="47" t="n">
        <f aca="false">MAX(0,B14-C14)</f>
        <v>159.32021341688</v>
      </c>
      <c r="E14" s="4" t="s">
        <v>2189</v>
      </c>
      <c r="F14" s="4"/>
      <c r="G14" s="4" t="s">
        <v>576</v>
      </c>
    </row>
    <row r="15" customFormat="false" ht="15" hidden="false" customHeight="true" outlineLevel="0" collapsed="false">
      <c r="A15" s="4" t="n">
        <v>60</v>
      </c>
      <c r="B15" s="47" t="n">
        <f aca="false">A15*1000*$B$7</f>
        <v>438</v>
      </c>
      <c r="C15" s="47" t="n">
        <f aca="false">MIN(B15,SS_Year_0_4_10!B23)</f>
        <v>205.67978658312</v>
      </c>
      <c r="D15" s="47" t="n">
        <f aca="false">MAX(0,B15-C15)</f>
        <v>232.32021341688</v>
      </c>
      <c r="E15" s="4" t="s">
        <v>2190</v>
      </c>
      <c r="F15" s="4"/>
      <c r="G15" s="4" t="s">
        <v>576</v>
      </c>
    </row>
    <row r="16" customFormat="false" ht="15" hidden="false" customHeight="true" outlineLevel="0" collapsed="false">
      <c r="A16" s="4" t="n">
        <v>68</v>
      </c>
      <c r="B16" s="47" t="n">
        <f aca="false">A16*1000*$B$7</f>
        <v>496.4</v>
      </c>
      <c r="C16" s="47" t="n">
        <f aca="false">MIN(B16,SS_Year_0_4_10!B23)</f>
        <v>205.67978658312</v>
      </c>
      <c r="D16" s="47" t="n">
        <f aca="false">MAX(0,B16-C16)</f>
        <v>290.72021341688</v>
      </c>
      <c r="E16" s="4" t="s">
        <v>2191</v>
      </c>
      <c r="F16" s="4"/>
      <c r="G16" s="4" t="s">
        <v>503</v>
      </c>
    </row>
    <row r="17" customFormat="false" ht="15" hidden="false" customHeight="true" outlineLevel="0" collapsed="false">
      <c r="A17" s="4" t="n">
        <v>75</v>
      </c>
      <c r="B17" s="47" t="n">
        <f aca="false">A17*1000*$B$7</f>
        <v>547.5</v>
      </c>
      <c r="C17" s="47" t="n">
        <f aca="false">MIN(B17,SS_Year_0_4_10!B23)</f>
        <v>205.67978658312</v>
      </c>
      <c r="D17" s="47" t="n">
        <f aca="false">MAX(0,B17-C17)</f>
        <v>341.82021341688</v>
      </c>
      <c r="E17" s="4" t="s">
        <v>2192</v>
      </c>
      <c r="F17" s="4"/>
      <c r="G17" s="4" t="s">
        <v>576</v>
      </c>
    </row>
    <row r="18" customFormat="false" ht="15" hidden="false" customHeight="true" outlineLevel="0" collapsed="false">
      <c r="A18" s="4" t="n">
        <v>85</v>
      </c>
      <c r="B18" s="47" t="n">
        <f aca="false">A18*1000*$B$7</f>
        <v>620.5</v>
      </c>
      <c r="C18" s="47" t="n">
        <f aca="false">MIN(B18,SS_Year_0_4_10!B23)</f>
        <v>205.67978658312</v>
      </c>
      <c r="D18" s="47" t="n">
        <f aca="false">MAX(0,B18-C18)</f>
        <v>414.82021341688</v>
      </c>
      <c r="E18" s="4" t="s">
        <v>2193</v>
      </c>
      <c r="F18" s="4"/>
      <c r="G18" s="4" t="s">
        <v>576</v>
      </c>
    </row>
    <row r="19" customFormat="false" ht="15" hidden="false" customHeight="true" outlineLevel="0" collapsed="false">
      <c r="A19" s="4"/>
      <c r="B19" s="47"/>
      <c r="C19" s="47"/>
      <c r="D19" s="47"/>
      <c r="E19" s="4"/>
      <c r="F19" s="4"/>
      <c r="G19" s="4"/>
    </row>
    <row r="20" customFormat="false" ht="15" hidden="false" customHeight="true" outlineLevel="0" collapsed="false">
      <c r="A20" s="202" t="s">
        <v>2194</v>
      </c>
      <c r="B20" s="202"/>
      <c r="C20" s="202"/>
      <c r="D20" s="202"/>
      <c r="E20" s="202"/>
      <c r="F20" s="202"/>
      <c r="G20" s="202"/>
    </row>
    <row r="21" customFormat="false" ht="15" hidden="false" customHeight="true" outlineLevel="0" collapsed="false">
      <c r="A21" s="198" t="s">
        <v>687</v>
      </c>
      <c r="B21" s="205" t="s">
        <v>953</v>
      </c>
      <c r="C21" s="205" t="s">
        <v>956</v>
      </c>
      <c r="D21" s="205" t="s">
        <v>958</v>
      </c>
      <c r="E21" s="198" t="s">
        <v>827</v>
      </c>
      <c r="F21" s="198" t="s">
        <v>2004</v>
      </c>
      <c r="G21" s="198" t="s">
        <v>691</v>
      </c>
    </row>
    <row r="22" customFormat="false" ht="15" hidden="false" customHeight="true" outlineLevel="0" collapsed="false">
      <c r="A22" s="4" t="s">
        <v>1000</v>
      </c>
      <c r="B22" s="47" t="n">
        <f aca="false">$B$8*(1+$B$10)^0</f>
        <v>496.4</v>
      </c>
      <c r="C22" s="47" t="n">
        <f aca="false">$B$8*(1+$B$10)^4</f>
        <v>520.65953101015</v>
      </c>
      <c r="D22" s="47" t="n">
        <f aca="false">$B$8*(1+$B$10)^10</f>
        <v>559.289798548091</v>
      </c>
      <c r="E22" s="4"/>
      <c r="F22" s="4" t="s">
        <v>2195</v>
      </c>
      <c r="G22" s="4" t="s">
        <v>708</v>
      </c>
    </row>
    <row r="23" customFormat="false" ht="15" hidden="false" customHeight="true" outlineLevel="0" collapsed="false">
      <c r="A23" s="4" t="s">
        <v>2019</v>
      </c>
      <c r="B23" s="47" t="n">
        <f aca="false">SS_Year_0_4_10!B23</f>
        <v>205.67978658312</v>
      </c>
      <c r="C23" s="47" t="n">
        <f aca="false">SS_Year_0_4_10!C23</f>
        <v>217.894681279245</v>
      </c>
      <c r="D23" s="47" t="n">
        <f aca="false">SS_Year_0_4_10!D23</f>
        <v>181.224335805155</v>
      </c>
      <c r="E23" s="4"/>
      <c r="F23" s="4" t="s">
        <v>2196</v>
      </c>
      <c r="G23" s="4" t="s">
        <v>708</v>
      </c>
    </row>
    <row r="24" customFormat="false" ht="15" hidden="false" customHeight="true" outlineLevel="0" collapsed="false">
      <c r="A24" s="144" t="s">
        <v>793</v>
      </c>
      <c r="B24" s="212" t="n">
        <f aca="false">MIN(B22,B23)</f>
        <v>205.67978658312</v>
      </c>
      <c r="C24" s="212" t="n">
        <f aca="false">MIN(C22,C23)</f>
        <v>217.894681279245</v>
      </c>
      <c r="D24" s="212" t="n">
        <f aca="false">MIN(D22,D23)</f>
        <v>181.224335805155</v>
      </c>
      <c r="E24" s="144"/>
      <c r="F24" s="144" t="s">
        <v>2197</v>
      </c>
      <c r="G24" s="144" t="s">
        <v>708</v>
      </c>
    </row>
    <row r="25" customFormat="false" ht="15" hidden="false" customHeight="true" outlineLevel="0" collapsed="false">
      <c r="A25" s="144" t="s">
        <v>830</v>
      </c>
      <c r="B25" s="212" t="n">
        <f aca="false">B24-B23</f>
        <v>0</v>
      </c>
      <c r="C25" s="212" t="n">
        <f aca="false">C24-C23</f>
        <v>0</v>
      </c>
      <c r="D25" s="212" t="n">
        <f aca="false">D24-D23</f>
        <v>0</v>
      </c>
      <c r="E25" s="144"/>
      <c r="F25" s="144" t="s">
        <v>2198</v>
      </c>
      <c r="G25" s="144" t="s">
        <v>708</v>
      </c>
    </row>
    <row r="26" customFormat="false" ht="15" hidden="false" customHeight="true" outlineLevel="0" collapsed="false">
      <c r="A26" s="144" t="s">
        <v>2035</v>
      </c>
      <c r="B26" s="212" t="n">
        <f aca="false">MAX(0,B22-B24)</f>
        <v>290.72021341688</v>
      </c>
      <c r="C26" s="212" t="n">
        <f aca="false">MAX(0,C22-C24)</f>
        <v>302.764849730905</v>
      </c>
      <c r="D26" s="212" t="n">
        <f aca="false">MAX(0,D22-D24)</f>
        <v>378.065462742936</v>
      </c>
      <c r="E26" s="144"/>
      <c r="F26" s="144" t="s">
        <v>2199</v>
      </c>
      <c r="G26" s="144" t="s">
        <v>708</v>
      </c>
    </row>
    <row r="27" customFormat="false" ht="15" hidden="false" customHeight="true" outlineLevel="0" collapsed="false">
      <c r="A27" s="144" t="s">
        <v>975</v>
      </c>
      <c r="B27" s="212" t="n">
        <f aca="false">MAX(0,B23-B24)</f>
        <v>0</v>
      </c>
      <c r="C27" s="212" t="n">
        <f aca="false">MAX(0,C23-C24)</f>
        <v>0</v>
      </c>
      <c r="D27" s="212" t="n">
        <f aca="false">MAX(0,D23-D24)</f>
        <v>0</v>
      </c>
      <c r="E27" s="144"/>
      <c r="F27" s="144" t="s">
        <v>2200</v>
      </c>
      <c r="G27" s="144" t="s">
        <v>708</v>
      </c>
    </row>
    <row r="28" customFormat="false" ht="15" hidden="false" customHeight="true" outlineLevel="0" collapsed="false">
      <c r="A28" s="4" t="s">
        <v>2201</v>
      </c>
      <c r="B28" s="47" t="n">
        <v>0</v>
      </c>
      <c r="C28" s="47" t="n">
        <v>0</v>
      </c>
      <c r="D28" s="47" t="n">
        <v>0</v>
      </c>
      <c r="E28" s="4"/>
      <c r="F28" s="4" t="s">
        <v>2202</v>
      </c>
      <c r="G28" s="4" t="s">
        <v>702</v>
      </c>
    </row>
    <row r="29" customFormat="false" ht="15" hidden="false" customHeight="true" outlineLevel="0" collapsed="false">
      <c r="A29" s="4" t="s">
        <v>2025</v>
      </c>
      <c r="B29" s="47" t="n">
        <v>120</v>
      </c>
      <c r="C29" s="47" t="n">
        <v>120</v>
      </c>
      <c r="D29" s="47" t="n">
        <v>120</v>
      </c>
      <c r="E29" s="4"/>
      <c r="F29" s="4" t="s">
        <v>2054</v>
      </c>
      <c r="G29" s="4" t="s">
        <v>702</v>
      </c>
    </row>
    <row r="30" customFormat="false" ht="15" hidden="false" customHeight="true" outlineLevel="0" collapsed="false">
      <c r="A30" s="4" t="s">
        <v>2203</v>
      </c>
      <c r="B30" s="47" t="n">
        <v>244.50949205</v>
      </c>
      <c r="C30" s="47" t="n">
        <v>244.50949205</v>
      </c>
      <c r="D30" s="47" t="n">
        <v>244.50949205</v>
      </c>
      <c r="E30" s="4"/>
      <c r="F30" s="4" t="s">
        <v>2204</v>
      </c>
      <c r="G30" s="4" t="s">
        <v>708</v>
      </c>
    </row>
    <row r="31" customFormat="false" ht="23.25" hidden="false" customHeight="true" outlineLevel="0" collapsed="false">
      <c r="A31" s="4" t="s">
        <v>2205</v>
      </c>
      <c r="B31" s="47" t="n">
        <v>0</v>
      </c>
      <c r="C31" s="47" t="n">
        <v>0</v>
      </c>
      <c r="D31" s="47" t="n">
        <v>0</v>
      </c>
      <c r="E31" s="4"/>
      <c r="F31" s="4" t="s">
        <v>2206</v>
      </c>
      <c r="G31" s="4" t="s">
        <v>2207</v>
      </c>
    </row>
    <row r="32" customFormat="false" ht="23.25" hidden="false" customHeight="true" outlineLevel="0" collapsed="false">
      <c r="A32" s="144" t="s">
        <v>816</v>
      </c>
      <c r="B32" s="212" t="n">
        <f aca="false">(B30-B31)/2</f>
        <v>122.254746025</v>
      </c>
      <c r="C32" s="212" t="n">
        <f aca="false">(C30-C31)/2</f>
        <v>122.254746025</v>
      </c>
      <c r="D32" s="212" t="n">
        <f aca="false">(D30-D31)/2</f>
        <v>122.254746025</v>
      </c>
      <c r="E32" s="144"/>
      <c r="F32" s="144" t="s">
        <v>1006</v>
      </c>
      <c r="G32" s="144" t="s">
        <v>708</v>
      </c>
    </row>
    <row r="33" customFormat="false" ht="23.25" hidden="false" customHeight="true" outlineLevel="0" collapsed="false">
      <c r="A33" s="144" t="s">
        <v>1007</v>
      </c>
      <c r="B33" s="212" t="n">
        <f aca="false">(B30-B31)/2</f>
        <v>122.254746025</v>
      </c>
      <c r="C33" s="212" t="n">
        <f aca="false">(C30-C31)/2</f>
        <v>122.254746025</v>
      </c>
      <c r="D33" s="212" t="n">
        <f aca="false">(D30-D31)/2</f>
        <v>122.254746025</v>
      </c>
      <c r="E33" s="144"/>
      <c r="F33" s="144" t="s">
        <v>1006</v>
      </c>
      <c r="G33" s="144" t="s">
        <v>708</v>
      </c>
    </row>
    <row r="34" customFormat="false" ht="23.25" hidden="false" customHeight="true" outlineLevel="0" collapsed="false">
      <c r="A34" s="144" t="s">
        <v>2208</v>
      </c>
      <c r="B34" s="212" t="n">
        <f aca="false">SS_Year_0_4_10!$B$11+Noncitizen_SS_Model!B32-B27</f>
        <v>37.1560610633821</v>
      </c>
      <c r="C34" s="212" t="n">
        <f aca="false">SS_Year_0_4_10!$B$11+Noncitizen_SS_Model!C32-C27</f>
        <v>37.1560610633821</v>
      </c>
      <c r="D34" s="212" t="n">
        <f aca="false">SS_Year_0_4_10!$B$11+Noncitizen_SS_Model!D32-D27</f>
        <v>37.1560610633821</v>
      </c>
      <c r="E34" s="144"/>
      <c r="F34" s="144" t="s">
        <v>2209</v>
      </c>
      <c r="G34" s="144" t="s">
        <v>708</v>
      </c>
    </row>
    <row r="35" customFormat="false" ht="15" hidden="false" customHeight="true" outlineLevel="0" collapsed="false">
      <c r="A35" s="144" t="s">
        <v>2043</v>
      </c>
      <c r="B35" s="212" t="n">
        <f aca="false">Budget_0_4_10!B23</f>
        <v>992.185766530262</v>
      </c>
      <c r="C35" s="212" t="n">
        <f aca="false">Budget_0_4_10!C23</f>
        <v>1004.23040284429</v>
      </c>
      <c r="D35" s="212" t="n">
        <f aca="false">Budget_0_4_10!D23</f>
        <v>1079.53101585632</v>
      </c>
      <c r="E35" s="144"/>
      <c r="F35" s="144" t="s">
        <v>2210</v>
      </c>
      <c r="G35" s="144" t="s">
        <v>708</v>
      </c>
    </row>
    <row r="36" customFormat="false" ht="15" hidden="false" customHeight="true" outlineLevel="0" collapsed="false">
      <c r="A36" s="4"/>
      <c r="B36" s="4"/>
      <c r="C36" s="4"/>
      <c r="D36" s="4"/>
      <c r="E36" s="4"/>
      <c r="F36" s="4"/>
      <c r="G36" s="4"/>
    </row>
    <row r="37" customFormat="false" ht="15" hidden="false" customHeight="true" outlineLevel="0" collapsed="false">
      <c r="A37" s="202" t="s">
        <v>2211</v>
      </c>
      <c r="B37" s="202"/>
      <c r="C37" s="202"/>
      <c r="D37" s="202"/>
      <c r="E37" s="202"/>
      <c r="F37" s="202"/>
      <c r="G37" s="202"/>
    </row>
    <row r="38" customFormat="false" ht="15" hidden="false" customHeight="true" outlineLevel="0" collapsed="false">
      <c r="A38" s="198" t="s">
        <v>2212</v>
      </c>
      <c r="B38" s="198" t="s">
        <v>2048</v>
      </c>
      <c r="C38" s="198" t="s">
        <v>2</v>
      </c>
      <c r="D38" s="198" t="s">
        <v>691</v>
      </c>
      <c r="E38" s="4"/>
      <c r="F38" s="4"/>
      <c r="G38" s="4"/>
    </row>
    <row r="39" customFormat="false" ht="45.75" hidden="false" customHeight="true" outlineLevel="0" collapsed="false">
      <c r="A39" s="4" t="s">
        <v>2213</v>
      </c>
      <c r="B39" s="4" t="s">
        <v>2214</v>
      </c>
      <c r="C39" s="4" t="s">
        <v>2215</v>
      </c>
      <c r="D39" s="4" t="s">
        <v>2216</v>
      </c>
      <c r="E39" s="4"/>
      <c r="F39" s="4"/>
      <c r="G39" s="4"/>
    </row>
    <row r="40" customFormat="false" ht="68.25" hidden="false" customHeight="true" outlineLevel="0" collapsed="false">
      <c r="A40" s="4" t="s">
        <v>2217</v>
      </c>
      <c r="B40" s="4" t="s">
        <v>2218</v>
      </c>
      <c r="C40" s="4" t="s">
        <v>2219</v>
      </c>
      <c r="D40" s="4" t="s">
        <v>2216</v>
      </c>
      <c r="E40" s="4"/>
      <c r="F40" s="4"/>
      <c r="G40" s="4"/>
    </row>
    <row r="41" customFormat="false" ht="34.5" hidden="false" customHeight="true" outlineLevel="0" collapsed="false">
      <c r="A41" s="4" t="s">
        <v>2220</v>
      </c>
      <c r="B41" s="4" t="s">
        <v>2221</v>
      </c>
      <c r="C41" s="4" t="s">
        <v>2222</v>
      </c>
      <c r="D41" s="4" t="s">
        <v>2216</v>
      </c>
      <c r="E41" s="4"/>
      <c r="F41" s="4"/>
      <c r="G41" s="4"/>
    </row>
    <row r="42" customFormat="false" ht="45.75" hidden="false" customHeight="true" outlineLevel="0" collapsed="false">
      <c r="A42" s="4" t="s">
        <v>2223</v>
      </c>
      <c r="B42" s="4" t="s">
        <v>2224</v>
      </c>
      <c r="C42" s="4" t="s">
        <v>2225</v>
      </c>
      <c r="D42" s="4" t="s">
        <v>2216</v>
      </c>
      <c r="E42" s="4"/>
      <c r="F42" s="4"/>
      <c r="G42" s="4"/>
    </row>
    <row r="43" customFormat="false" ht="34.5" hidden="false" customHeight="true" outlineLevel="0" collapsed="false">
      <c r="A43" s="4" t="s">
        <v>2226</v>
      </c>
      <c r="B43" s="4" t="s">
        <v>2227</v>
      </c>
      <c r="C43" s="4" t="s">
        <v>2228</v>
      </c>
      <c r="D43" s="4" t="s">
        <v>2216</v>
      </c>
      <c r="E43" s="4"/>
      <c r="F43" s="4"/>
      <c r="G43" s="4"/>
    </row>
  </sheetData>
  <mergeCells count="6">
    <mergeCell ref="A1:G1"/>
    <mergeCell ref="A2:G2"/>
    <mergeCell ref="A4:G4"/>
    <mergeCell ref="A12:G12"/>
    <mergeCell ref="A20:G20"/>
    <mergeCell ref="A37:G3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5"/>
    <col collapsed="false" customWidth="true" hidden="false" outlineLevel="0" max="2" min="2" style="17" width="22"/>
    <col collapsed="false" customWidth="true" hidden="false" outlineLevel="0" max="3" min="3" style="17" width="55"/>
    <col collapsed="false" customWidth="true" hidden="false" outlineLevel="0" max="6" min="4" style="17" width="16"/>
    <col collapsed="false" customWidth="true" hidden="false" outlineLevel="0" max="7" min="7" style="17" width="34"/>
    <col collapsed="false" customWidth="true" hidden="false" outlineLevel="0" max="8" min="8" style="17" width="15"/>
    <col collapsed="false" customWidth="true" hidden="false" outlineLevel="0" max="9" min="9" style="17" width="55"/>
  </cols>
  <sheetData>
    <row r="1" customFormat="false" ht="17.25" hidden="false" customHeight="true" outlineLevel="0" collapsed="false">
      <c r="A1" s="203" t="s">
        <v>2229</v>
      </c>
      <c r="B1" s="203"/>
      <c r="C1" s="203"/>
      <c r="D1" s="203"/>
      <c r="E1" s="203"/>
      <c r="F1" s="203"/>
      <c r="G1" s="203"/>
      <c r="H1" s="203"/>
      <c r="I1" s="203"/>
    </row>
    <row r="2" customFormat="false" ht="15" hidden="false" customHeight="true" outlineLevel="0" collapsed="false">
      <c r="A2" s="36" t="s">
        <v>2230</v>
      </c>
      <c r="B2" s="36"/>
      <c r="C2" s="36"/>
      <c r="D2" s="36"/>
      <c r="E2" s="36"/>
      <c r="F2" s="36"/>
      <c r="G2" s="36"/>
      <c r="H2" s="36"/>
      <c r="I2" s="36"/>
    </row>
    <row r="3" customFormat="false" ht="15" hidden="false" customHeight="true" outlineLevel="0" collapsed="false">
      <c r="A3" s="4"/>
      <c r="B3" s="4"/>
      <c r="C3" s="4"/>
      <c r="D3" s="4"/>
      <c r="E3" s="4"/>
      <c r="F3" s="4"/>
      <c r="G3" s="4"/>
      <c r="H3" s="4"/>
      <c r="I3" s="4"/>
    </row>
    <row r="4" customFormat="false" ht="23.25" hidden="false" customHeight="true" outlineLevel="0" collapsed="false">
      <c r="A4" s="198" t="s">
        <v>2231</v>
      </c>
      <c r="B4" s="198" t="s">
        <v>2232</v>
      </c>
      <c r="C4" s="198" t="s">
        <v>2233</v>
      </c>
      <c r="D4" s="198" t="s">
        <v>2234</v>
      </c>
      <c r="E4" s="198" t="s">
        <v>2235</v>
      </c>
      <c r="F4" s="198" t="s">
        <v>2236</v>
      </c>
      <c r="G4" s="198" t="s">
        <v>1376</v>
      </c>
      <c r="H4" s="198" t="s">
        <v>2123</v>
      </c>
      <c r="I4" s="198" t="s">
        <v>2237</v>
      </c>
    </row>
    <row r="5" customFormat="false" ht="34.5" hidden="false" customHeight="true" outlineLevel="0" collapsed="false">
      <c r="A5" s="4" t="s">
        <v>2238</v>
      </c>
      <c r="B5" s="4" t="s">
        <v>2239</v>
      </c>
      <c r="C5" s="4" t="s">
        <v>2240</v>
      </c>
      <c r="D5" s="47" t="n">
        <v>68000</v>
      </c>
      <c r="E5" s="47" t="n">
        <v>60000</v>
      </c>
      <c r="F5" s="47" t="n">
        <v>78000</v>
      </c>
      <c r="G5" s="4" t="s">
        <v>2241</v>
      </c>
      <c r="H5" s="4" t="s">
        <v>2242</v>
      </c>
      <c r="I5" s="4" t="s">
        <v>2169</v>
      </c>
    </row>
    <row r="6" customFormat="false" ht="34.5" hidden="false" customHeight="true" outlineLevel="0" collapsed="false">
      <c r="A6" s="4" t="s">
        <v>2243</v>
      </c>
      <c r="B6" s="4" t="s">
        <v>2244</v>
      </c>
      <c r="C6" s="4" t="s">
        <v>2245</v>
      </c>
      <c r="D6" s="47" t="n">
        <v>683.82</v>
      </c>
      <c r="E6" s="47" t="n">
        <v>610</v>
      </c>
      <c r="F6" s="47" t="n">
        <v>760</v>
      </c>
      <c r="G6" s="4" t="s">
        <v>2246</v>
      </c>
      <c r="H6" s="4" t="s">
        <v>2242</v>
      </c>
      <c r="I6" s="4" t="s">
        <v>2247</v>
      </c>
    </row>
    <row r="7" customFormat="false" ht="34.5" hidden="false" customHeight="true" outlineLevel="0" collapsed="false">
      <c r="A7" s="4" t="s">
        <v>2248</v>
      </c>
      <c r="B7" s="4" t="s">
        <v>2249</v>
      </c>
      <c r="C7" s="4" t="s">
        <v>2250</v>
      </c>
      <c r="D7" s="47" t="n">
        <v>18</v>
      </c>
      <c r="E7" s="47" t="n">
        <v>11.88</v>
      </c>
      <c r="F7" s="47" t="n">
        <v>24.3</v>
      </c>
      <c r="G7" s="4" t="s">
        <v>2251</v>
      </c>
      <c r="H7" s="4" t="s">
        <v>2252</v>
      </c>
      <c r="I7" s="4" t="s">
        <v>2253</v>
      </c>
    </row>
    <row r="8" customFormat="false" ht="23.25" hidden="false" customHeight="true" outlineLevel="0" collapsed="false">
      <c r="A8" s="4" t="s">
        <v>2254</v>
      </c>
      <c r="B8" s="4" t="s">
        <v>2255</v>
      </c>
      <c r="C8" s="4" t="s">
        <v>2256</v>
      </c>
      <c r="D8" s="47" t="n">
        <v>2.221</v>
      </c>
      <c r="E8" s="47" t="n">
        <v>2</v>
      </c>
      <c r="F8" s="47" t="n">
        <v>2.5</v>
      </c>
      <c r="G8" s="4" t="s">
        <v>2257</v>
      </c>
      <c r="H8" s="4" t="s">
        <v>1778</v>
      </c>
      <c r="I8" s="4" t="s">
        <v>2258</v>
      </c>
    </row>
    <row r="9" customFormat="false" ht="23.25" hidden="false" customHeight="true" outlineLevel="0" collapsed="false">
      <c r="A9" s="4" t="s">
        <v>297</v>
      </c>
      <c r="B9" s="4" t="s">
        <v>2259</v>
      </c>
      <c r="C9" s="4" t="s">
        <v>2260</v>
      </c>
      <c r="D9" s="47" t="n">
        <v>107.4</v>
      </c>
      <c r="E9" s="47" t="n">
        <v>78.7</v>
      </c>
      <c r="F9" s="47" t="n">
        <v>143.2</v>
      </c>
      <c r="G9" s="4" t="s">
        <v>239</v>
      </c>
      <c r="H9" s="4" t="s">
        <v>2242</v>
      </c>
      <c r="I9" s="4" t="s">
        <v>2261</v>
      </c>
    </row>
    <row r="10" customFormat="false" ht="23.25" hidden="false" customHeight="true" outlineLevel="0" collapsed="false">
      <c r="A10" s="4" t="s">
        <v>270</v>
      </c>
      <c r="B10" s="4" t="s">
        <v>2262</v>
      </c>
      <c r="C10" s="4" t="s">
        <v>2263</v>
      </c>
      <c r="D10" s="47" t="n">
        <v>26.5</v>
      </c>
      <c r="E10" s="47" t="n">
        <v>23</v>
      </c>
      <c r="F10" s="47" t="n">
        <v>30</v>
      </c>
      <c r="G10" s="4" t="s">
        <v>1819</v>
      </c>
      <c r="H10" s="4" t="s">
        <v>2242</v>
      </c>
      <c r="I10" s="4" t="s">
        <v>2264</v>
      </c>
    </row>
    <row r="11" customFormat="false" ht="34.5" hidden="false" customHeight="true" outlineLevel="0" collapsed="false">
      <c r="A11" s="4" t="s">
        <v>2265</v>
      </c>
      <c r="B11" s="4" t="s">
        <v>2207</v>
      </c>
      <c r="C11" s="4" t="s">
        <v>2266</v>
      </c>
      <c r="D11" s="47" t="n">
        <v>12</v>
      </c>
      <c r="E11" s="47" t="n">
        <v>7</v>
      </c>
      <c r="F11" s="47" t="n">
        <v>18</v>
      </c>
      <c r="G11" s="4" t="s">
        <v>2267</v>
      </c>
      <c r="H11" s="4" t="s">
        <v>2242</v>
      </c>
      <c r="I11" s="4" t="s">
        <v>2268</v>
      </c>
    </row>
    <row r="12" customFormat="false" ht="57" hidden="false" customHeight="true" outlineLevel="0" collapsed="false">
      <c r="A12" s="4" t="s">
        <v>303</v>
      </c>
      <c r="B12" s="4" t="s">
        <v>2207</v>
      </c>
      <c r="C12" s="4" t="s">
        <v>2269</v>
      </c>
      <c r="D12" s="47" t="n">
        <v>0.5</v>
      </c>
      <c r="E12" s="47" t="n">
        <v>0.25</v>
      </c>
      <c r="F12" s="47" t="n">
        <v>1</v>
      </c>
      <c r="G12" s="4" t="s">
        <v>2270</v>
      </c>
      <c r="H12" s="4" t="s">
        <v>2252</v>
      </c>
      <c r="I12" s="4" t="s">
        <v>2271</v>
      </c>
    </row>
    <row r="13" customFormat="false" ht="34.5" hidden="false" customHeight="true" outlineLevel="0" collapsed="false">
      <c r="A13" s="4" t="s">
        <v>306</v>
      </c>
      <c r="B13" s="4" t="s">
        <v>2207</v>
      </c>
      <c r="C13" s="4" t="s">
        <v>2272</v>
      </c>
      <c r="D13" s="47" t="n">
        <v>3</v>
      </c>
      <c r="E13" s="47" t="n">
        <v>1.5</v>
      </c>
      <c r="F13" s="47" t="n">
        <v>5</v>
      </c>
      <c r="G13" s="4" t="s">
        <v>2273</v>
      </c>
      <c r="H13" s="4" t="s">
        <v>2252</v>
      </c>
      <c r="I13" s="4" t="s">
        <v>2274</v>
      </c>
    </row>
    <row r="14" customFormat="false" ht="23.25" hidden="false" customHeight="true" outlineLevel="0" collapsed="false">
      <c r="A14" s="4" t="s">
        <v>2275</v>
      </c>
      <c r="B14" s="4" t="s">
        <v>2207</v>
      </c>
      <c r="C14" s="4" t="s">
        <v>2276</v>
      </c>
      <c r="D14" s="47" t="n">
        <v>15</v>
      </c>
      <c r="E14" s="47" t="n">
        <v>8</v>
      </c>
      <c r="F14" s="47" t="n">
        <v>25</v>
      </c>
      <c r="G14" s="4" t="s">
        <v>2277</v>
      </c>
      <c r="H14" s="4" t="s">
        <v>2252</v>
      </c>
      <c r="I14" s="4" t="s">
        <v>2278</v>
      </c>
    </row>
    <row r="15" customFormat="false" ht="23.25" hidden="false" customHeight="true" outlineLevel="0" collapsed="false">
      <c r="A15" s="4" t="s">
        <v>2279</v>
      </c>
      <c r="B15" s="4" t="s">
        <v>2207</v>
      </c>
      <c r="C15" s="4" t="s">
        <v>2280</v>
      </c>
      <c r="D15" s="47" t="n">
        <v>4</v>
      </c>
      <c r="E15" s="47" t="n">
        <v>2</v>
      </c>
      <c r="F15" s="47" t="n">
        <v>7</v>
      </c>
      <c r="G15" s="4" t="s">
        <v>2281</v>
      </c>
      <c r="H15" s="4" t="s">
        <v>2252</v>
      </c>
      <c r="I15" s="4" t="s">
        <v>2282</v>
      </c>
    </row>
    <row r="16" customFormat="false" ht="45.75" hidden="false" customHeight="true" outlineLevel="0" collapsed="false">
      <c r="A16" s="4" t="s">
        <v>2283</v>
      </c>
      <c r="B16" s="4" t="s">
        <v>2284</v>
      </c>
      <c r="C16" s="4" t="s">
        <v>2285</v>
      </c>
      <c r="D16" s="47" t="n">
        <v>12</v>
      </c>
      <c r="E16" s="47" t="n">
        <v>6</v>
      </c>
      <c r="F16" s="47" t="n">
        <v>20</v>
      </c>
      <c r="G16" s="4" t="s">
        <v>2286</v>
      </c>
      <c r="H16" s="4" t="s">
        <v>2252</v>
      </c>
      <c r="I16" s="4" t="s">
        <v>2287</v>
      </c>
    </row>
    <row r="17" customFormat="false" ht="23.25" hidden="false" customHeight="true" outlineLevel="0" collapsed="false">
      <c r="A17" s="4" t="s">
        <v>2288</v>
      </c>
      <c r="B17" s="4" t="s">
        <v>2289</v>
      </c>
      <c r="C17" s="4" t="s">
        <v>2290</v>
      </c>
      <c r="D17" s="47" t="n">
        <v>12</v>
      </c>
      <c r="E17" s="47" t="n">
        <v>6</v>
      </c>
      <c r="F17" s="47" t="n">
        <v>20</v>
      </c>
      <c r="G17" s="4" t="s">
        <v>2291</v>
      </c>
      <c r="H17" s="4" t="s">
        <v>2252</v>
      </c>
      <c r="I17" s="4" t="s">
        <v>2292</v>
      </c>
    </row>
    <row r="18" customFormat="false" ht="23.25" hidden="false" customHeight="true" outlineLevel="0" collapsed="false">
      <c r="A18" s="4" t="s">
        <v>2293</v>
      </c>
      <c r="B18" s="4" t="s">
        <v>2207</v>
      </c>
      <c r="C18" s="4" t="s">
        <v>2294</v>
      </c>
      <c r="D18" s="47" t="n">
        <v>5</v>
      </c>
      <c r="E18" s="47" t="n">
        <v>2</v>
      </c>
      <c r="F18" s="47" t="n">
        <v>10</v>
      </c>
      <c r="G18" s="4" t="s">
        <v>2295</v>
      </c>
      <c r="H18" s="4" t="s">
        <v>2296</v>
      </c>
      <c r="I18" s="4" t="s">
        <v>2297</v>
      </c>
    </row>
    <row r="19" customFormat="false" ht="23.25" hidden="false" customHeight="true" outlineLevel="0" collapsed="false">
      <c r="A19" s="4" t="s">
        <v>318</v>
      </c>
      <c r="B19" s="4" t="s">
        <v>2207</v>
      </c>
      <c r="C19" s="4" t="s">
        <v>2298</v>
      </c>
      <c r="D19" s="47" t="n">
        <v>0.5</v>
      </c>
      <c r="E19" s="47" t="n">
        <v>0</v>
      </c>
      <c r="F19" s="47" t="n">
        <v>1.5</v>
      </c>
      <c r="G19" s="4" t="s">
        <v>239</v>
      </c>
      <c r="H19" s="4" t="s">
        <v>1775</v>
      </c>
      <c r="I19" s="4" t="s">
        <v>2299</v>
      </c>
    </row>
    <row r="20" customFormat="false" ht="23.25" hidden="false" customHeight="true" outlineLevel="0" collapsed="false">
      <c r="A20" s="4" t="s">
        <v>2300</v>
      </c>
      <c r="B20" s="4" t="s">
        <v>2207</v>
      </c>
      <c r="C20" s="4" t="s">
        <v>2301</v>
      </c>
      <c r="D20" s="47" t="n">
        <v>6</v>
      </c>
      <c r="E20" s="47" t="n">
        <v>3</v>
      </c>
      <c r="F20" s="47" t="n">
        <v>10</v>
      </c>
      <c r="G20" s="4" t="s">
        <v>2302</v>
      </c>
      <c r="H20" s="4" t="s">
        <v>2242</v>
      </c>
      <c r="I20" s="4" t="s">
        <v>2303</v>
      </c>
    </row>
    <row r="21" customFormat="false" ht="34.5" hidden="false" customHeight="true" outlineLevel="0" collapsed="false">
      <c r="A21" s="4" t="s">
        <v>2304</v>
      </c>
      <c r="B21" s="4" t="s">
        <v>2207</v>
      </c>
      <c r="C21" s="4" t="s">
        <v>2305</v>
      </c>
      <c r="D21" s="47" t="n">
        <v>150</v>
      </c>
      <c r="E21" s="47" t="n">
        <v>100</v>
      </c>
      <c r="F21" s="47" t="n">
        <v>220</v>
      </c>
      <c r="G21" s="4" t="s">
        <v>2306</v>
      </c>
      <c r="H21" s="4" t="s">
        <v>2252</v>
      </c>
      <c r="I21" s="4" t="s">
        <v>2307</v>
      </c>
    </row>
    <row r="22" customFormat="false" ht="34.5" hidden="false" customHeight="true" outlineLevel="0" collapsed="false">
      <c r="A22" s="4" t="s">
        <v>255</v>
      </c>
      <c r="B22" s="4" t="s">
        <v>2308</v>
      </c>
      <c r="C22" s="4" t="s">
        <v>2309</v>
      </c>
      <c r="D22" s="47" t="n">
        <v>3.307</v>
      </c>
      <c r="E22" s="47" t="n">
        <v>2</v>
      </c>
      <c r="F22" s="47" t="n">
        <v>5</v>
      </c>
      <c r="G22" s="4" t="s">
        <v>239</v>
      </c>
      <c r="H22" s="4" t="s">
        <v>2252</v>
      </c>
      <c r="I22" s="4" t="s">
        <v>2310</v>
      </c>
    </row>
    <row r="23" customFormat="false" ht="23.25" hidden="false" customHeight="true" outlineLevel="0" collapsed="false">
      <c r="A23" s="4" t="s">
        <v>252</v>
      </c>
      <c r="B23" s="4" t="s">
        <v>2311</v>
      </c>
      <c r="C23" s="4" t="s">
        <v>2312</v>
      </c>
      <c r="D23" s="47" t="n">
        <v>142.92</v>
      </c>
      <c r="E23" s="47" t="n">
        <v>100</v>
      </c>
      <c r="F23" s="47" t="n">
        <v>175</v>
      </c>
      <c r="G23" s="4" t="s">
        <v>239</v>
      </c>
      <c r="H23" s="4" t="s">
        <v>2242</v>
      </c>
      <c r="I23" s="4" t="s">
        <v>1174</v>
      </c>
    </row>
    <row r="24" customFormat="false" ht="34.5" hidden="false" customHeight="true" outlineLevel="0" collapsed="false">
      <c r="A24" s="4" t="s">
        <v>285</v>
      </c>
      <c r="B24" s="4" t="s">
        <v>2313</v>
      </c>
      <c r="C24" s="4" t="s">
        <v>2314</v>
      </c>
      <c r="D24" s="47" t="n">
        <v>47.715</v>
      </c>
      <c r="E24" s="47" t="n">
        <v>35</v>
      </c>
      <c r="F24" s="47" t="n">
        <v>65</v>
      </c>
      <c r="G24" s="4" t="s">
        <v>239</v>
      </c>
      <c r="H24" s="4" t="s">
        <v>2242</v>
      </c>
      <c r="I24" s="4" t="s">
        <v>1079</v>
      </c>
    </row>
    <row r="25" customFormat="false" ht="23.25" hidden="false" customHeight="true" outlineLevel="0" collapsed="false">
      <c r="A25" s="4" t="s">
        <v>288</v>
      </c>
      <c r="B25" s="4" t="s">
        <v>2315</v>
      </c>
      <c r="C25" s="4" t="s">
        <v>2316</v>
      </c>
      <c r="D25" s="47" t="n">
        <v>19.2</v>
      </c>
      <c r="E25" s="47" t="n">
        <v>12</v>
      </c>
      <c r="F25" s="47" t="n">
        <v>28</v>
      </c>
      <c r="G25" s="4" t="s">
        <v>239</v>
      </c>
      <c r="H25" s="4" t="s">
        <v>2242</v>
      </c>
      <c r="I25" s="4" t="s">
        <v>2317</v>
      </c>
    </row>
    <row r="26" customFormat="false" ht="23.25" hidden="false" customHeight="true" outlineLevel="0" collapsed="false">
      <c r="A26" s="4" t="s">
        <v>2318</v>
      </c>
      <c r="B26" s="4" t="s">
        <v>2319</v>
      </c>
      <c r="C26" s="4" t="s">
        <v>2320</v>
      </c>
      <c r="D26" s="47" t="n">
        <v>38</v>
      </c>
      <c r="E26" s="47" t="n">
        <v>25</v>
      </c>
      <c r="F26" s="47" t="n">
        <v>50</v>
      </c>
      <c r="G26" s="4" t="s">
        <v>239</v>
      </c>
      <c r="H26" s="4" t="s">
        <v>2242</v>
      </c>
      <c r="I26" s="4" t="s">
        <v>1873</v>
      </c>
    </row>
    <row r="27" customFormat="false" ht="23.25" hidden="false" customHeight="true" outlineLevel="0" collapsed="false">
      <c r="A27" s="4" t="s">
        <v>1810</v>
      </c>
      <c r="B27" s="4" t="s">
        <v>2321</v>
      </c>
      <c r="C27" s="4" t="s">
        <v>2322</v>
      </c>
      <c r="D27" s="47" t="n">
        <v>154.137</v>
      </c>
      <c r="E27" s="47" t="n">
        <v>100</v>
      </c>
      <c r="F27" s="47" t="n">
        <v>190</v>
      </c>
      <c r="G27" s="4" t="s">
        <v>2291</v>
      </c>
      <c r="H27" s="4" t="s">
        <v>2242</v>
      </c>
      <c r="I27" s="4" t="s">
        <v>2323</v>
      </c>
    </row>
    <row r="28" customFormat="false" ht="34.5" hidden="false" customHeight="true" outlineLevel="0" collapsed="false">
      <c r="A28" s="4" t="s">
        <v>2324</v>
      </c>
      <c r="B28" s="4" t="s">
        <v>2325</v>
      </c>
      <c r="C28" s="4" t="s">
        <v>2326</v>
      </c>
      <c r="D28" s="47" t="n">
        <v>82.583</v>
      </c>
      <c r="E28" s="47" t="n">
        <v>50</v>
      </c>
      <c r="F28" s="47" t="n">
        <v>110</v>
      </c>
      <c r="G28" s="4" t="s">
        <v>1022</v>
      </c>
      <c r="H28" s="4" t="s">
        <v>2252</v>
      </c>
      <c r="I28" s="4" t="s">
        <v>2327</v>
      </c>
    </row>
    <row r="29" customFormat="false" ht="23.25" hidden="false" customHeight="true" outlineLevel="0" collapsed="false">
      <c r="A29" s="4" t="s">
        <v>26</v>
      </c>
      <c r="B29" s="4" t="s">
        <v>2328</v>
      </c>
      <c r="C29" s="4" t="s">
        <v>2329</v>
      </c>
      <c r="D29" s="47" t="n">
        <v>2232.929</v>
      </c>
      <c r="E29" s="47" t="n">
        <v>2232.929</v>
      </c>
      <c r="F29" s="47" t="n">
        <v>2232.929</v>
      </c>
      <c r="G29" s="4" t="s">
        <v>239</v>
      </c>
      <c r="H29" s="4" t="s">
        <v>2330</v>
      </c>
      <c r="I29" s="4" t="s">
        <v>2331</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6"/>
    <col collapsed="false" customWidth="true" hidden="false" outlineLevel="0" max="6" min="2" style="17" width="18"/>
    <col collapsed="false" customWidth="true" hidden="false" outlineLevel="0" max="7" min="7" style="17" width="42"/>
    <col collapsed="false" customWidth="true" hidden="false" outlineLevel="0" max="8" min="8" style="17" width="50"/>
  </cols>
  <sheetData>
    <row r="1" customFormat="false" ht="17.25" hidden="false" customHeight="true" outlineLevel="0" collapsed="false">
      <c r="A1" s="203" t="s">
        <v>2332</v>
      </c>
      <c r="B1" s="203"/>
      <c r="C1" s="203"/>
      <c r="D1" s="203"/>
      <c r="E1" s="203"/>
      <c r="F1" s="203"/>
      <c r="G1" s="203"/>
      <c r="H1" s="203"/>
    </row>
    <row r="2" customFormat="false" ht="15" hidden="false" customHeight="true" outlineLevel="0" collapsed="false">
      <c r="A2" s="36" t="s">
        <v>2333</v>
      </c>
      <c r="B2" s="36"/>
      <c r="C2" s="36"/>
      <c r="D2" s="36"/>
      <c r="E2" s="36"/>
      <c r="F2" s="36"/>
      <c r="G2" s="36"/>
      <c r="H2" s="36"/>
    </row>
    <row r="3" customFormat="false" ht="15" hidden="false" customHeight="true" outlineLevel="0" collapsed="false">
      <c r="A3" s="4"/>
      <c r="B3" s="4"/>
      <c r="C3" s="4"/>
      <c r="D3" s="4"/>
      <c r="E3" s="4"/>
      <c r="F3" s="4"/>
      <c r="G3" s="4"/>
      <c r="H3" s="4"/>
    </row>
    <row r="4" customFormat="false" ht="23.25" hidden="false" customHeight="true" outlineLevel="0" collapsed="false">
      <c r="A4" s="198" t="s">
        <v>2334</v>
      </c>
      <c r="B4" s="198" t="s">
        <v>2335</v>
      </c>
      <c r="C4" s="198" t="s">
        <v>2336</v>
      </c>
      <c r="D4" s="198" t="s">
        <v>2337</v>
      </c>
      <c r="E4" s="198" t="s">
        <v>2338</v>
      </c>
      <c r="F4" s="198" t="s">
        <v>2339</v>
      </c>
      <c r="G4" s="198" t="s">
        <v>827</v>
      </c>
      <c r="H4" s="198" t="s">
        <v>1984</v>
      </c>
    </row>
    <row r="5" customFormat="false" ht="23.25" hidden="false" customHeight="true" outlineLevel="0" collapsed="false">
      <c r="A5" s="4" t="s">
        <v>297</v>
      </c>
      <c r="B5" s="47" t="n">
        <v>107.4</v>
      </c>
      <c r="C5" s="47" t="n">
        <v>4</v>
      </c>
      <c r="D5" s="47" t="n">
        <f aca="false">B5-C5</f>
        <v>103.4</v>
      </c>
      <c r="E5" s="47" t="n">
        <f aca="false">D5</f>
        <v>103.4</v>
      </c>
      <c r="F5" s="47" t="n">
        <v>0</v>
      </c>
      <c r="G5" s="4" t="s">
        <v>2340</v>
      </c>
      <c r="H5" s="4" t="s">
        <v>2261</v>
      </c>
    </row>
    <row r="6" customFormat="false" ht="15" hidden="false" customHeight="true" outlineLevel="0" collapsed="false">
      <c r="A6" s="4" t="s">
        <v>2341</v>
      </c>
      <c r="B6" s="47" t="n">
        <v>12</v>
      </c>
      <c r="C6" s="47" t="n">
        <v>1</v>
      </c>
      <c r="D6" s="47" t="n">
        <f aca="false">B6-C6</f>
        <v>11</v>
      </c>
      <c r="E6" s="47" t="n">
        <v>5</v>
      </c>
      <c r="F6" s="47" t="n">
        <v>6</v>
      </c>
      <c r="G6" s="4" t="s">
        <v>2342</v>
      </c>
      <c r="H6" s="4" t="s">
        <v>2343</v>
      </c>
    </row>
    <row r="7" customFormat="false" ht="34.5" hidden="false" customHeight="true" outlineLevel="0" collapsed="false">
      <c r="A7" s="4" t="s">
        <v>2344</v>
      </c>
      <c r="B7" s="47" t="n">
        <v>0.5</v>
      </c>
      <c r="C7" s="47" t="n">
        <v>0.1</v>
      </c>
      <c r="D7" s="47" t="n">
        <f aca="false">B7-C7</f>
        <v>0.4</v>
      </c>
      <c r="E7" s="47" t="n">
        <f aca="false">D7</f>
        <v>0.4</v>
      </c>
      <c r="F7" s="47" t="n">
        <v>0</v>
      </c>
      <c r="G7" s="4" t="s">
        <v>2345</v>
      </c>
      <c r="H7" s="4" t="s">
        <v>2346</v>
      </c>
    </row>
    <row r="8" customFormat="false" ht="15" hidden="false" customHeight="true" outlineLevel="0" collapsed="false">
      <c r="A8" s="4" t="s">
        <v>306</v>
      </c>
      <c r="B8" s="47" t="n">
        <v>3</v>
      </c>
      <c r="C8" s="47" t="n">
        <v>1</v>
      </c>
      <c r="D8" s="47" t="n">
        <f aca="false">B8-C8</f>
        <v>2</v>
      </c>
      <c r="E8" s="47" t="n">
        <f aca="false">D8</f>
        <v>2</v>
      </c>
      <c r="F8" s="47" t="n">
        <v>0</v>
      </c>
      <c r="G8" s="4" t="s">
        <v>2347</v>
      </c>
      <c r="H8" s="4" t="s">
        <v>2348</v>
      </c>
    </row>
    <row r="9" customFormat="false" ht="15" hidden="false" customHeight="true" outlineLevel="0" collapsed="false">
      <c r="A9" s="4" t="s">
        <v>2349</v>
      </c>
      <c r="B9" s="47" t="n">
        <v>15</v>
      </c>
      <c r="C9" s="47" t="n">
        <v>5</v>
      </c>
      <c r="D9" s="47" t="n">
        <f aca="false">B9-C9</f>
        <v>10</v>
      </c>
      <c r="E9" s="47" t="n">
        <f aca="false">D9</f>
        <v>10</v>
      </c>
      <c r="F9" s="47" t="n">
        <v>0</v>
      </c>
      <c r="G9" s="4" t="s">
        <v>2350</v>
      </c>
      <c r="H9" s="4" t="s">
        <v>2351</v>
      </c>
    </row>
    <row r="10" customFormat="false" ht="23.25" hidden="false" customHeight="true" outlineLevel="0" collapsed="false">
      <c r="A10" s="4" t="s">
        <v>312</v>
      </c>
      <c r="B10" s="47" t="n">
        <v>4</v>
      </c>
      <c r="C10" s="47" t="n">
        <v>0.5</v>
      </c>
      <c r="D10" s="47" t="n">
        <f aca="false">B10-C10</f>
        <v>3.5</v>
      </c>
      <c r="E10" s="47" t="n">
        <f aca="false">D10</f>
        <v>3.5</v>
      </c>
      <c r="F10" s="47" t="n">
        <v>0</v>
      </c>
      <c r="G10" s="4" t="s">
        <v>2352</v>
      </c>
      <c r="H10" s="4" t="s">
        <v>2282</v>
      </c>
    </row>
    <row r="11" customFormat="false" ht="15" hidden="false" customHeight="true" outlineLevel="0" collapsed="false">
      <c r="A11" s="4" t="s">
        <v>1021</v>
      </c>
      <c r="B11" s="47" t="n">
        <v>12</v>
      </c>
      <c r="C11" s="47" t="n">
        <v>0</v>
      </c>
      <c r="D11" s="47" t="n">
        <f aca="false">B11-C11</f>
        <v>12</v>
      </c>
      <c r="E11" s="47" t="n">
        <v>0</v>
      </c>
      <c r="F11" s="47" t="n">
        <v>12</v>
      </c>
      <c r="G11" s="4" t="s">
        <v>2353</v>
      </c>
      <c r="H11" s="4" t="s">
        <v>2354</v>
      </c>
    </row>
    <row r="12" customFormat="false" ht="15" hidden="false" customHeight="true" outlineLevel="0" collapsed="false">
      <c r="A12" s="4" t="s">
        <v>1023</v>
      </c>
      <c r="B12" s="47" t="n">
        <v>12</v>
      </c>
      <c r="C12" s="47" t="n">
        <v>0</v>
      </c>
      <c r="D12" s="47" t="n">
        <f aca="false">B12-C12</f>
        <v>12</v>
      </c>
      <c r="E12" s="47" t="n">
        <v>0</v>
      </c>
      <c r="F12" s="47" t="n">
        <v>12</v>
      </c>
      <c r="G12" s="4" t="s">
        <v>2355</v>
      </c>
      <c r="H12" s="4" t="s">
        <v>2356</v>
      </c>
    </row>
    <row r="13" customFormat="false" ht="15" hidden="false" customHeight="true" outlineLevel="0" collapsed="false">
      <c r="A13" s="4" t="s">
        <v>315</v>
      </c>
      <c r="B13" s="47" t="n">
        <v>5</v>
      </c>
      <c r="C13" s="47" t="n">
        <v>2</v>
      </c>
      <c r="D13" s="47" t="n">
        <f aca="false">B13-C13</f>
        <v>3</v>
      </c>
      <c r="E13" s="47" t="n">
        <f aca="false">D13</f>
        <v>3</v>
      </c>
      <c r="F13" s="47" t="n">
        <v>0</v>
      </c>
      <c r="G13" s="4" t="s">
        <v>2357</v>
      </c>
      <c r="H13" s="4" t="s">
        <v>2358</v>
      </c>
    </row>
    <row r="14" customFormat="false" ht="15" hidden="false" customHeight="true" outlineLevel="0" collapsed="false">
      <c r="A14" s="4" t="s">
        <v>318</v>
      </c>
      <c r="B14" s="47" t="n">
        <v>0.5</v>
      </c>
      <c r="C14" s="47" t="n">
        <v>0</v>
      </c>
      <c r="D14" s="47" t="n">
        <f aca="false">B14-C14</f>
        <v>0.5</v>
      </c>
      <c r="E14" s="47" t="n">
        <f aca="false">D14</f>
        <v>0.5</v>
      </c>
      <c r="F14" s="47" t="n">
        <v>0</v>
      </c>
      <c r="G14" s="4" t="s">
        <v>2359</v>
      </c>
      <c r="H14" s="4" t="s">
        <v>2299</v>
      </c>
    </row>
    <row r="15" customFormat="false" ht="23.25" hidden="false" customHeight="true" outlineLevel="0" collapsed="false">
      <c r="A15" s="4" t="s">
        <v>1028</v>
      </c>
      <c r="B15" s="47" t="n">
        <v>150</v>
      </c>
      <c r="C15" s="47" t="n">
        <v>0</v>
      </c>
      <c r="D15" s="47" t="n">
        <f aca="false">B15-C15</f>
        <v>150</v>
      </c>
      <c r="E15" s="47" t="n">
        <f aca="false">D15</f>
        <v>150</v>
      </c>
      <c r="F15" s="47" t="n">
        <v>0</v>
      </c>
      <c r="G15" s="4" t="s">
        <v>2360</v>
      </c>
      <c r="H15" s="4" t="s">
        <v>1079</v>
      </c>
    </row>
    <row r="16" customFormat="false" ht="23.25" hidden="false" customHeight="true" outlineLevel="0" collapsed="false">
      <c r="A16" s="213" t="s">
        <v>2361</v>
      </c>
      <c r="B16" s="214" t="n">
        <f aca="false">SUM(B5:B15)</f>
        <v>321.4</v>
      </c>
      <c r="C16" s="214" t="n">
        <f aca="false">SUM(C5:C15)</f>
        <v>13.6</v>
      </c>
      <c r="D16" s="214" t="n">
        <f aca="false">SUM(D5:D15)</f>
        <v>307.8</v>
      </c>
      <c r="E16" s="214" t="n">
        <f aca="false">SUM(E5:E15)</f>
        <v>277.8</v>
      </c>
      <c r="F16" s="214" t="n">
        <f aca="false">SUM(F5:F15)</f>
        <v>30</v>
      </c>
      <c r="G16" s="213" t="s">
        <v>2362</v>
      </c>
      <c r="H16" s="213"/>
    </row>
  </sheetData>
  <mergeCells count="2">
    <mergeCell ref="A1:H1"/>
    <mergeCell ref="A2: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42"/>
    <col collapsed="false" customWidth="true" hidden="false" outlineLevel="0" max="4" min="2" style="17" width="16"/>
  </cols>
  <sheetData>
    <row r="1" customFormat="false" ht="17.25" hidden="false" customHeight="true" outlineLevel="0" collapsed="false">
      <c r="A1" s="215" t="s">
        <v>2363</v>
      </c>
      <c r="B1" s="215"/>
      <c r="C1" s="215"/>
      <c r="D1" s="215"/>
    </row>
    <row r="2" customFormat="false" ht="42" hidden="false" customHeight="true" outlineLevel="0" collapsed="false">
      <c r="A2" s="48" t="s">
        <v>2364</v>
      </c>
      <c r="B2" s="48"/>
      <c r="C2" s="48"/>
      <c r="D2" s="48"/>
    </row>
    <row r="4" customFormat="false" ht="15" hidden="false" customHeight="true" outlineLevel="0" collapsed="false">
      <c r="A4" s="216" t="s">
        <v>2365</v>
      </c>
      <c r="B4" s="216" t="s">
        <v>953</v>
      </c>
      <c r="C4" s="216" t="s">
        <v>956</v>
      </c>
      <c r="D4" s="216" t="s">
        <v>958</v>
      </c>
    </row>
    <row r="5" customFormat="false" ht="15" hidden="false" customHeight="true" outlineLevel="0" collapsed="false">
      <c r="A5" s="173" t="s">
        <v>1810</v>
      </c>
      <c r="B5" s="29" t="n">
        <f aca="false">NLA_Model!E21</f>
        <v>21.471784</v>
      </c>
      <c r="C5" s="29" t="n">
        <f aca="false">NLA_Model!E22</f>
        <v>67.71298</v>
      </c>
      <c r="D5" s="29" t="n">
        <f aca="false">NLA_Model!E23</f>
        <v>154.13732</v>
      </c>
    </row>
    <row r="6" customFormat="false" ht="15" hidden="false" customHeight="true" outlineLevel="0" collapsed="false">
      <c r="A6" s="173" t="s">
        <v>2366</v>
      </c>
      <c r="B6" s="29" t="n">
        <f aca="false">SS_Hybrid_2024!D9</f>
        <v>976.39046523</v>
      </c>
      <c r="C6" s="29" t="n">
        <f aca="false">SS_Hybrid_2024!D9*(1+SS_Year_0_4_10!$B$8)^4</f>
        <v>1024.10757798033</v>
      </c>
      <c r="D6" s="29" t="n">
        <f aca="false">SS_Hybrid_2024!D9*(1+SS_Year_0_4_10!$B$8)^10</f>
        <v>1100.09110919171</v>
      </c>
    </row>
    <row r="7" customFormat="false" ht="15" hidden="false" customHeight="true" outlineLevel="0" collapsed="false">
      <c r="A7" s="173" t="s">
        <v>2011</v>
      </c>
      <c r="B7" s="29" t="n">
        <f aca="false">SS_Year_0_4_10!B20</f>
        <v>193.05</v>
      </c>
      <c r="C7" s="29" t="n">
        <f aca="false">SS_Year_0_4_10!C20</f>
        <v>193.05</v>
      </c>
      <c r="D7" s="29" t="n">
        <f aca="false">SS_Year_0_4_10!D20</f>
        <v>193.05</v>
      </c>
    </row>
    <row r="8" customFormat="false" ht="15" hidden="false" customHeight="true" outlineLevel="0" collapsed="false">
      <c r="A8" s="173" t="s">
        <v>2367</v>
      </c>
      <c r="B8" s="29" t="n">
        <f aca="false">Noncitizen_SS_Model!B30</f>
        <v>52.40796418688</v>
      </c>
      <c r="C8" s="29" t="n">
        <f aca="false">Noncitizen_SS_Model!C30</f>
        <v>54.9691902794877</v>
      </c>
      <c r="D8" s="29" t="n">
        <f aca="false">Noncitizen_SS_Model!D30</f>
        <v>59.0476223456802</v>
      </c>
    </row>
    <row r="9" customFormat="false" ht="15" hidden="false" customHeight="true" outlineLevel="0" collapsed="false">
      <c r="A9" s="173" t="s">
        <v>2368</v>
      </c>
      <c r="B9" s="29" t="n">
        <f aca="false">Noncitizen_SS_Model!B31</f>
        <v>18</v>
      </c>
      <c r="C9" s="29" t="n">
        <f aca="false">Noncitizen_SS_Model!C31</f>
        <v>19.3341647796204</v>
      </c>
      <c r="D9" s="29" t="n">
        <f aca="false">Noncitizen_SS_Model!D31</f>
        <v>20.9269986176999</v>
      </c>
    </row>
    <row r="10" customFormat="false" ht="15" hidden="false" customHeight="true" outlineLevel="0" collapsed="false">
      <c r="A10" s="173" t="s">
        <v>2369</v>
      </c>
      <c r="B10" s="29" t="n">
        <f aca="false">12</f>
        <v>12</v>
      </c>
      <c r="C10" s="29" t="n">
        <f aca="false">12</f>
        <v>12</v>
      </c>
      <c r="D10" s="29" t="n">
        <f aca="false">12</f>
        <v>12</v>
      </c>
    </row>
    <row r="11" customFormat="false" ht="15" hidden="false" customHeight="true" outlineLevel="0" collapsed="false">
      <c r="A11" s="173" t="s">
        <v>2370</v>
      </c>
      <c r="B11" s="29" t="n">
        <f aca="false">SUM(B5:B10)</f>
        <v>1273.32021341688</v>
      </c>
      <c r="C11" s="29" t="n">
        <f aca="false">SUM(C5:C10)</f>
        <v>1371.17391303944</v>
      </c>
      <c r="D11" s="29" t="n">
        <f aca="false">SUM(D5:D10)</f>
        <v>1539.25305015509</v>
      </c>
    </row>
    <row r="12" customFormat="false" ht="15" hidden="false" customHeight="true" outlineLevel="0" collapsed="false">
      <c r="A12" s="173" t="s">
        <v>2371</v>
      </c>
      <c r="B12" s="29" t="n">
        <f aca="false">SS_Year_0_4_10!B22</f>
        <v>1479</v>
      </c>
      <c r="C12" s="29" t="n">
        <f aca="false">SS_Year_0_4_10!C22</f>
        <v>1589.06859431868</v>
      </c>
      <c r="D12" s="29" t="n">
        <f aca="false">SS_Year_0_4_10!D22</f>
        <v>1720.47738596024</v>
      </c>
    </row>
    <row r="13" customFormat="false" ht="15" hidden="false" customHeight="true" outlineLevel="0" collapsed="false">
      <c r="A13" s="217" t="s">
        <v>2372</v>
      </c>
      <c r="B13" s="218" t="n">
        <f aca="false">MAX(0,B12-B11)</f>
        <v>205.67978658312</v>
      </c>
      <c r="C13" s="218" t="n">
        <f aca="false">MAX(0,C12-C11)</f>
        <v>217.894681279245</v>
      </c>
      <c r="D13" s="218" t="n">
        <f aca="false">MAX(0,D12-D11)</f>
        <v>181.224335805155</v>
      </c>
    </row>
    <row r="14" customFormat="false" ht="15" hidden="false" customHeight="true" outlineLevel="0" collapsed="false">
      <c r="A14" s="217" t="s">
        <v>805</v>
      </c>
      <c r="B14" s="218" t="n">
        <f aca="false">National_Continuity!B22</f>
        <v>496.4</v>
      </c>
      <c r="C14" s="218" t="n">
        <f aca="false">National_Continuity!C22</f>
        <v>520.65953101015</v>
      </c>
      <c r="D14" s="218" t="n">
        <f aca="false">National_Continuity!D22</f>
        <v>559.289798548091</v>
      </c>
    </row>
    <row r="15" customFormat="false" ht="15" hidden="false" customHeight="true" outlineLevel="0" collapsed="false">
      <c r="A15" s="217" t="s">
        <v>793</v>
      </c>
      <c r="B15" s="218" t="n">
        <f aca="false">MIN(B13,B14)</f>
        <v>205.67978658312</v>
      </c>
      <c r="C15" s="218" t="n">
        <f aca="false">MIN(C13,C14)</f>
        <v>217.894681279245</v>
      </c>
      <c r="D15" s="218" t="n">
        <f aca="false">MIN(D13,D14)</f>
        <v>181.224335805155</v>
      </c>
    </row>
    <row r="16" customFormat="false" ht="15" hidden="false" customHeight="true" outlineLevel="0" collapsed="false">
      <c r="A16" s="217" t="s">
        <v>830</v>
      </c>
      <c r="B16" s="218" t="n">
        <f aca="false">B11+B15-B12</f>
        <v>0</v>
      </c>
      <c r="C16" s="218" t="n">
        <f aca="false">C11+C15-C12</f>
        <v>0</v>
      </c>
      <c r="D16" s="218" t="n">
        <f aca="false">D11+D15-D12</f>
        <v>0</v>
      </c>
    </row>
    <row r="17" customFormat="false" ht="15" hidden="false" customHeight="true" outlineLevel="0" collapsed="false">
      <c r="A17" s="217" t="s">
        <v>808</v>
      </c>
      <c r="B17" s="218" t="n">
        <f aca="false">MAX(0,B14-B15)</f>
        <v>290.72021341688</v>
      </c>
      <c r="C17" s="218" t="n">
        <f aca="false">MAX(0,C14-C15)</f>
        <v>302.764849730905</v>
      </c>
      <c r="D17" s="218" t="n">
        <f aca="false">MAX(0,D14-D15)</f>
        <v>378.065462742936</v>
      </c>
    </row>
    <row r="18" customFormat="false" ht="15" hidden="false" customHeight="true" outlineLevel="0" collapsed="false">
      <c r="A18" s="173" t="s">
        <v>801</v>
      </c>
      <c r="B18" s="29" t="n">
        <f aca="false">Tax_Revenue_2024!D33</f>
        <v>5710.93123619</v>
      </c>
      <c r="C18" s="29" t="n">
        <f aca="false">Tax_Revenue_2024!D33</f>
        <v>5710.93123619</v>
      </c>
      <c r="D18" s="29" t="n">
        <f aca="false">Tax_Revenue_2024!D33</f>
        <v>5710.93123619</v>
      </c>
    </row>
    <row r="19" customFormat="false" ht="15" hidden="false" customHeight="true" outlineLevel="0" collapsed="false">
      <c r="A19" s="173" t="s">
        <v>799</v>
      </c>
      <c r="B19" s="29" t="n">
        <f aca="false">Total_Government_Revenue!B24-NLA_Model!E23+NLA_Model!E21-National_Continuity!D22+National_Continuity!B22</f>
        <v>8907.13809715438</v>
      </c>
      <c r="C19" s="29" t="n">
        <f aca="false">Total_Government_Revenue!B24-NLA_Model!E23+NLA_Model!E22-National_Continuity!D22+National_Continuity!C22</f>
        <v>8977.63882416453</v>
      </c>
      <c r="D19" s="29" t="n">
        <f aca="false">Total_Government_Revenue!B24</f>
        <v>9102.69343170247</v>
      </c>
    </row>
    <row r="20" customFormat="false" ht="15" hidden="false" customHeight="true" outlineLevel="0" collapsed="false">
      <c r="A20" s="173" t="s">
        <v>785</v>
      </c>
      <c r="B20" s="29" t="n">
        <f aca="false">Deficit_Views!B43</f>
        <v>318.956061063382</v>
      </c>
      <c r="C20" s="29" t="n">
        <f aca="false">Deficit_Views!B43</f>
        <v>318.956061063382</v>
      </c>
      <c r="D20" s="29" t="n">
        <f aca="false">Deficit_Views!B43</f>
        <v>318.956061063382</v>
      </c>
    </row>
    <row r="21" customFormat="false" ht="15" hidden="false" customHeight="true" outlineLevel="0" collapsed="false">
      <c r="A21" s="173" t="s">
        <v>773</v>
      </c>
      <c r="B21" s="29" t="n">
        <f aca="false">Deficit_Views!B44</f>
        <v>376.50949205</v>
      </c>
      <c r="C21" s="29" t="n">
        <f aca="false">Deficit_Views!B44</f>
        <v>376.50949205</v>
      </c>
      <c r="D21" s="29" t="n">
        <f aca="false">Deficit_Views!B44</f>
        <v>376.50949205</v>
      </c>
    </row>
    <row r="22" customFormat="false" ht="15" hidden="false" customHeight="true" outlineLevel="0" collapsed="false">
      <c r="A22" s="173" t="s">
        <v>2208</v>
      </c>
      <c r="B22" s="29" t="n">
        <f aca="false">B20-National_Continuity!B27</f>
        <v>318.956061063382</v>
      </c>
      <c r="C22" s="29" t="n">
        <f aca="false">C20-National_Continuity!C27</f>
        <v>318.956061063382</v>
      </c>
      <c r="D22" s="29" t="n">
        <f aca="false">D20-National_Continuity!D27</f>
        <v>318.956061063382</v>
      </c>
    </row>
    <row r="23" customFormat="false" ht="15" hidden="false" customHeight="true" outlineLevel="0" collapsed="false">
      <c r="A23" s="219" t="s">
        <v>2373</v>
      </c>
      <c r="B23" s="220" t="n">
        <f aca="false">B20+B21+B17+6</f>
        <v>992.185766530262</v>
      </c>
      <c r="C23" s="220" t="n">
        <f aca="false">C20+C21+C17+6</f>
        <v>1004.23040284429</v>
      </c>
      <c r="D23" s="220" t="n">
        <f aca="false">D20+D21+D17+6</f>
        <v>1079.53101585632</v>
      </c>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18"/>
    <col collapsed="false" customWidth="true" hidden="false" outlineLevel="0" max="14" min="2" style="17" width="15"/>
  </cols>
  <sheetData>
    <row r="1" customFormat="false" ht="15" hidden="false" customHeight="true" outlineLevel="0" collapsed="false">
      <c r="A1" s="100" t="s">
        <v>2374</v>
      </c>
      <c r="B1" s="100"/>
      <c r="C1" s="100"/>
      <c r="D1" s="100"/>
      <c r="E1" s="100"/>
      <c r="F1" s="100"/>
      <c r="G1" s="100"/>
      <c r="H1" s="100"/>
      <c r="I1" s="100"/>
      <c r="J1" s="100"/>
      <c r="K1" s="100"/>
      <c r="L1" s="100"/>
      <c r="M1" s="100"/>
      <c r="N1" s="100"/>
    </row>
    <row r="2" customFormat="false" ht="48" hidden="false" customHeight="true" outlineLevel="0" collapsed="false">
      <c r="A2" s="48" t="s">
        <v>2375</v>
      </c>
      <c r="B2" s="48"/>
      <c r="C2" s="48"/>
      <c r="D2" s="48"/>
      <c r="E2" s="48"/>
      <c r="F2" s="48"/>
      <c r="G2" s="48"/>
      <c r="H2" s="48"/>
      <c r="I2" s="48"/>
      <c r="J2" s="48"/>
      <c r="K2" s="48"/>
      <c r="L2" s="48"/>
      <c r="M2" s="48"/>
      <c r="N2" s="48"/>
    </row>
    <row r="3" customFormat="false" ht="15" hidden="false" customHeight="true" outlineLevel="0" collapsed="false">
      <c r="A3" s="4"/>
      <c r="B3" s="4"/>
      <c r="C3" s="4"/>
      <c r="D3" s="4"/>
      <c r="E3" s="4"/>
      <c r="F3" s="4"/>
      <c r="G3" s="4"/>
      <c r="H3" s="4"/>
      <c r="I3" s="4"/>
      <c r="J3" s="4"/>
      <c r="K3" s="4"/>
      <c r="L3" s="4"/>
      <c r="M3" s="4"/>
      <c r="N3" s="4"/>
    </row>
    <row r="4" customFormat="false" ht="34.5" hidden="false" customHeight="true" outlineLevel="0" collapsed="false">
      <c r="A4" s="37" t="s">
        <v>2376</v>
      </c>
      <c r="B4" s="37" t="s">
        <v>2377</v>
      </c>
      <c r="C4" s="37" t="s">
        <v>2378</v>
      </c>
      <c r="D4" s="37" t="s">
        <v>2379</v>
      </c>
      <c r="E4" s="37" t="s">
        <v>2380</v>
      </c>
      <c r="F4" s="37" t="s">
        <v>2381</v>
      </c>
      <c r="G4" s="37" t="s">
        <v>2382</v>
      </c>
      <c r="H4" s="37" t="s">
        <v>2383</v>
      </c>
      <c r="I4" s="37" t="s">
        <v>2384</v>
      </c>
      <c r="J4" s="37" t="s">
        <v>2385</v>
      </c>
      <c r="K4" s="37" t="s">
        <v>2386</v>
      </c>
      <c r="L4" s="37" t="s">
        <v>2387</v>
      </c>
      <c r="M4" s="37" t="s">
        <v>2388</v>
      </c>
      <c r="N4" s="37" t="s">
        <v>2389</v>
      </c>
    </row>
    <row r="5" customFormat="false" ht="15" hidden="false" customHeight="true" outlineLevel="0" collapsed="false">
      <c r="A5" s="4" t="s">
        <v>2390</v>
      </c>
      <c r="B5" s="221" t="n">
        <v>80000</v>
      </c>
      <c r="C5" s="221" t="n">
        <v>0</v>
      </c>
      <c r="D5" s="49" t="n">
        <v>0.03</v>
      </c>
      <c r="E5" s="221" t="n">
        <f aca="false">MAX(0,B5-14600)</f>
        <v>65400</v>
      </c>
      <c r="F5" s="221" t="n">
        <f aca="false">MIN(E5,11600)*10%+MAX(0,MIN(E5,47150)-11600)*12%+MAX(0,MIN(E5,100525)-47150)*22%+MAX(0,MIN(E5,191950)-100525)*24%+MAX(0,MIN(E5,243725)-191950)*32%+MAX(0,MIN(E5,609350)-243725)*35%+MAX(0,E5-609350)*37%</f>
        <v>9441</v>
      </c>
      <c r="G5" s="221" t="n">
        <f aca="false">MIN(B5,168600)*6.2%+B5*1.45%+MAX(0,B5-200000)*0.9%</f>
        <v>6120</v>
      </c>
      <c r="H5" s="221" t="n">
        <f aca="false">F5+G5</f>
        <v>15561</v>
      </c>
      <c r="I5" s="221" t="n">
        <f aca="false">B5*10%</f>
        <v>8000</v>
      </c>
      <c r="J5" s="221" t="n">
        <f aca="false">B5*3%</f>
        <v>2400</v>
      </c>
      <c r="K5" s="221" t="n">
        <f aca="false">B5*D5</f>
        <v>2400</v>
      </c>
      <c r="L5" s="221" t="n">
        <f aca="false">SUM(I5:K5)</f>
        <v>12800</v>
      </c>
      <c r="M5" s="221" t="n">
        <f aca="false">L5-H5</f>
        <v>-2761</v>
      </c>
      <c r="N5" s="49" t="n">
        <f aca="false">M5/B5</f>
        <v>-0.0345125</v>
      </c>
    </row>
    <row r="6" customFormat="false" ht="15" hidden="false" customHeight="true" outlineLevel="0" collapsed="false">
      <c r="A6" s="4" t="s">
        <v>2391</v>
      </c>
      <c r="B6" s="221" t="n">
        <v>70000</v>
      </c>
      <c r="C6" s="221" t="n">
        <v>0</v>
      </c>
      <c r="D6" s="49" t="n">
        <v>0.03</v>
      </c>
      <c r="E6" s="221" t="n">
        <f aca="false">MAX(0,B6-14600)</f>
        <v>55400</v>
      </c>
      <c r="F6" s="221" t="n">
        <f aca="false">MIN(E6,11600)*10%+MAX(0,MIN(E6,47150)-11600)*12%+MAX(0,MIN(E6,100525)-47150)*22%+MAX(0,MIN(E6,191950)-100525)*24%+MAX(0,MIN(E6,243725)-191950)*32%+MAX(0,MIN(E6,609350)-243725)*35%+MAX(0,E6-609350)*37%</f>
        <v>7241</v>
      </c>
      <c r="G6" s="221" t="n">
        <f aca="false">MIN(B6,168600)*6.2%+B6*1.45%+MAX(0,B6-200000)*0.9%</f>
        <v>5355</v>
      </c>
      <c r="H6" s="221" t="n">
        <f aca="false">F6+G6</f>
        <v>12596</v>
      </c>
      <c r="I6" s="221" t="n">
        <f aca="false">B6*10%</f>
        <v>7000</v>
      </c>
      <c r="J6" s="221" t="n">
        <f aca="false">B6*3%</f>
        <v>2100</v>
      </c>
      <c r="K6" s="221" t="n">
        <f aca="false">B6*D6</f>
        <v>2100</v>
      </c>
      <c r="L6" s="221" t="n">
        <f aca="false">SUM(I6:K6)</f>
        <v>11200</v>
      </c>
      <c r="M6" s="221" t="n">
        <f aca="false">L6-H6</f>
        <v>-1396</v>
      </c>
      <c r="N6" s="49" t="n">
        <f aca="false">M6/B6</f>
        <v>-0.0199428571428571</v>
      </c>
    </row>
    <row r="7" customFormat="false" ht="15" hidden="false" customHeight="true" outlineLevel="0" collapsed="false">
      <c r="A7" s="4" t="s">
        <v>2392</v>
      </c>
      <c r="B7" s="221" t="n">
        <v>60000</v>
      </c>
      <c r="C7" s="221" t="n">
        <v>30000</v>
      </c>
      <c r="D7" s="49" t="n">
        <v>0.02</v>
      </c>
      <c r="E7" s="221" t="n">
        <f aca="false">MAX(0,B7+MIN(85%*C7,85%*MAX(0,B7+50%*C7-34000)+MIN(4500,50%*C7))-16550)</f>
        <v>68950</v>
      </c>
      <c r="F7" s="221" t="n">
        <f aca="false">MIN(E7,11600)*10%+MAX(0,MIN(E7,47150)-11600)*12%+MAX(0,MIN(E7,100525)-47150)*22%+MAX(0,MIN(E7,191950)-100525)*24%+MAX(0,MIN(E7,243725)-191950)*32%+MAX(0,MIN(E7,609350)-243725)*35%+MAX(0,E7-609350)*37%</f>
        <v>10222</v>
      </c>
      <c r="G7" s="221" t="n">
        <f aca="false">0</f>
        <v>0</v>
      </c>
      <c r="H7" s="221" t="n">
        <f aca="false">F7+G7</f>
        <v>10222</v>
      </c>
      <c r="I7" s="221" t="n">
        <f aca="false">B7*10%</f>
        <v>6000</v>
      </c>
      <c r="J7" s="221" t="n">
        <f aca="false">B7*3%</f>
        <v>1800</v>
      </c>
      <c r="K7" s="221" t="n">
        <f aca="false">B7*D7</f>
        <v>1200</v>
      </c>
      <c r="L7" s="221" t="n">
        <f aca="false">SUM(I7:K7)</f>
        <v>9000</v>
      </c>
      <c r="M7" s="221" t="n">
        <f aca="false">L7-H7</f>
        <v>-1222</v>
      </c>
      <c r="N7" s="49" t="n">
        <f aca="false">M7/B7</f>
        <v>-0.0203666666666667</v>
      </c>
    </row>
    <row r="8" customFormat="false" ht="15" hidden="false" customHeight="true" outlineLevel="0" collapsed="false">
      <c r="A8" s="4" t="s">
        <v>2393</v>
      </c>
      <c r="B8" s="221" t="n">
        <v>400000</v>
      </c>
      <c r="C8" s="221" t="n">
        <v>0</v>
      </c>
      <c r="D8" s="49" t="n">
        <v>0.05</v>
      </c>
      <c r="E8" s="221" t="n">
        <f aca="false">MAX(0,B8-14600)</f>
        <v>385400</v>
      </c>
      <c r="F8" s="221" t="n">
        <f aca="false">MIN(E8,11600)*10%+MAX(0,MIN(E8,47150)-11600)*12%+MAX(0,MIN(E8,100525)-47150)*22%+MAX(0,MIN(E8,191950)-100525)*24%+MAX(0,MIN(E8,243725)-191950)*32%+MAX(0,MIN(E8,609350)-243725)*35%+MAX(0,E8-609350)*37%</f>
        <v>105264.75</v>
      </c>
      <c r="G8" s="221" t="n">
        <f aca="false">MIN(B8,168600)*6.2%+B8*1.45%+MAX(0,B8-200000)*0.9%</f>
        <v>18053.2</v>
      </c>
      <c r="H8" s="221" t="n">
        <f aca="false">F8+G8</f>
        <v>123317.95</v>
      </c>
      <c r="I8" s="221" t="n">
        <f aca="false">B8*10%</f>
        <v>40000</v>
      </c>
      <c r="J8" s="221" t="n">
        <f aca="false">B8*3%</f>
        <v>12000</v>
      </c>
      <c r="K8" s="221" t="n">
        <f aca="false">B8*D8</f>
        <v>20000</v>
      </c>
      <c r="L8" s="221" t="n">
        <f aca="false">SUM(I8:K8)</f>
        <v>72000</v>
      </c>
      <c r="M8" s="221" t="n">
        <f aca="false">L8-H8</f>
        <v>-51317.95</v>
      </c>
      <c r="N8" s="49" t="n">
        <f aca="false">M8/B8</f>
        <v>-0.128294875</v>
      </c>
    </row>
    <row r="9" customFormat="false" ht="15" hidden="false" customHeight="true" outlineLevel="0" collapsed="false">
      <c r="A9" s="4"/>
      <c r="B9" s="4"/>
      <c r="C9" s="4"/>
      <c r="D9" s="4"/>
      <c r="E9" s="4"/>
      <c r="F9" s="4"/>
      <c r="G9" s="4"/>
      <c r="H9" s="4"/>
      <c r="I9" s="4"/>
      <c r="J9" s="4"/>
      <c r="K9" s="4"/>
      <c r="L9" s="4"/>
      <c r="M9" s="4"/>
      <c r="N9" s="4"/>
    </row>
    <row r="10" customFormat="false" ht="23.25" hidden="false" customHeight="true" outlineLevel="0" collapsed="false">
      <c r="A10" s="48" t="s">
        <v>2394</v>
      </c>
      <c r="B10" s="48"/>
      <c r="C10" s="48"/>
      <c r="D10" s="48"/>
      <c r="E10" s="48"/>
      <c r="F10" s="48"/>
      <c r="G10" s="48"/>
      <c r="H10" s="48"/>
      <c r="I10" s="48"/>
      <c r="J10" s="48"/>
      <c r="K10" s="48"/>
      <c r="L10" s="48"/>
      <c r="M10" s="48"/>
      <c r="N10" s="48"/>
    </row>
    <row r="11" customFormat="false" ht="15" hidden="false" customHeight="true" outlineLevel="0" collapsed="false">
      <c r="A11" s="4"/>
      <c r="B11" s="4"/>
      <c r="C11" s="4"/>
      <c r="D11" s="4"/>
      <c r="E11" s="4"/>
      <c r="F11" s="4"/>
      <c r="G11" s="4"/>
      <c r="H11" s="4"/>
      <c r="I11" s="4"/>
      <c r="J11" s="4"/>
      <c r="K11" s="4"/>
      <c r="L11" s="4"/>
      <c r="M11" s="4"/>
      <c r="N11" s="4"/>
    </row>
    <row r="12" customFormat="false" ht="23.25" hidden="false" customHeight="true" outlineLevel="0" collapsed="false">
      <c r="A12" s="37" t="s">
        <v>2395</v>
      </c>
      <c r="B12" s="37" t="s">
        <v>688</v>
      </c>
      <c r="C12" s="37" t="s">
        <v>41</v>
      </c>
      <c r="D12" s="37" t="s">
        <v>2396</v>
      </c>
      <c r="E12" s="4"/>
      <c r="F12" s="4"/>
      <c r="G12" s="4"/>
      <c r="H12" s="4"/>
      <c r="I12" s="4"/>
      <c r="J12" s="4"/>
      <c r="K12" s="4"/>
      <c r="L12" s="4"/>
      <c r="M12" s="4"/>
      <c r="N12" s="4"/>
    </row>
    <row r="13" customFormat="false" ht="45.75" hidden="false" customHeight="true" outlineLevel="0" collapsed="false">
      <c r="A13" s="4" t="s">
        <v>2397</v>
      </c>
      <c r="B13" s="4" t="n">
        <v>14600</v>
      </c>
      <c r="C13" s="4" t="s">
        <v>2398</v>
      </c>
      <c r="D13" s="4" t="s">
        <v>2399</v>
      </c>
      <c r="E13" s="4"/>
      <c r="F13" s="4"/>
      <c r="G13" s="4"/>
      <c r="H13" s="4"/>
      <c r="I13" s="4"/>
      <c r="J13" s="4"/>
      <c r="K13" s="4"/>
      <c r="L13" s="4"/>
      <c r="M13" s="4"/>
      <c r="N13" s="4"/>
    </row>
    <row r="14" customFormat="false" ht="45.75" hidden="false" customHeight="true" outlineLevel="0" collapsed="false">
      <c r="A14" s="4" t="s">
        <v>2400</v>
      </c>
      <c r="B14" s="4" t="n">
        <v>1950</v>
      </c>
      <c r="C14" s="4" t="s">
        <v>2398</v>
      </c>
      <c r="D14" s="4" t="s">
        <v>2401</v>
      </c>
      <c r="E14" s="4"/>
      <c r="F14" s="4"/>
      <c r="G14" s="4"/>
      <c r="H14" s="4"/>
      <c r="I14" s="4"/>
      <c r="J14" s="4"/>
      <c r="K14" s="4"/>
      <c r="L14" s="4"/>
      <c r="M14" s="4"/>
      <c r="N14" s="4"/>
    </row>
    <row r="15" customFormat="false" ht="68.25" hidden="false" customHeight="true" outlineLevel="0" collapsed="false">
      <c r="A15" s="4" t="s">
        <v>2402</v>
      </c>
      <c r="B15" s="4" t="n">
        <v>168600</v>
      </c>
      <c r="C15" s="4" t="s">
        <v>2403</v>
      </c>
      <c r="D15" s="4" t="s">
        <v>2404</v>
      </c>
      <c r="E15" s="4"/>
      <c r="F15" s="4"/>
      <c r="G15" s="4"/>
      <c r="H15" s="4"/>
      <c r="I15" s="4"/>
      <c r="J15" s="4"/>
      <c r="K15" s="4"/>
      <c r="L15" s="4"/>
      <c r="M15" s="4"/>
      <c r="N15" s="4"/>
    </row>
    <row r="16" customFormat="false" ht="45.75" hidden="false" customHeight="true" outlineLevel="0" collapsed="false">
      <c r="A16" s="4" t="s">
        <v>2405</v>
      </c>
      <c r="B16" s="4" t="n">
        <v>0.0145</v>
      </c>
      <c r="C16" s="4" t="s">
        <v>2406</v>
      </c>
      <c r="D16" s="4" t="s">
        <v>2407</v>
      </c>
      <c r="E16" s="4"/>
      <c r="F16" s="4"/>
      <c r="G16" s="4"/>
      <c r="H16" s="4"/>
      <c r="I16" s="4"/>
      <c r="J16" s="4"/>
      <c r="K16" s="4"/>
      <c r="L16" s="4"/>
      <c r="M16" s="4"/>
      <c r="N16" s="4"/>
    </row>
    <row r="17" customFormat="false" ht="34.5" hidden="false" customHeight="true" outlineLevel="0" collapsed="false">
      <c r="A17" s="4" t="s">
        <v>2408</v>
      </c>
      <c r="B17" s="4" t="n">
        <v>200000</v>
      </c>
      <c r="C17" s="4" t="s">
        <v>2409</v>
      </c>
      <c r="D17" s="4" t="s">
        <v>2410</v>
      </c>
      <c r="E17" s="4"/>
      <c r="F17" s="4"/>
      <c r="G17" s="4"/>
      <c r="H17" s="4"/>
      <c r="I17" s="4"/>
      <c r="J17" s="4"/>
      <c r="K17" s="4"/>
      <c r="L17" s="4"/>
      <c r="M17" s="4"/>
      <c r="N17" s="4"/>
    </row>
    <row r="18" customFormat="false" ht="45.75" hidden="false" customHeight="true" outlineLevel="0" collapsed="false">
      <c r="A18" s="4" t="s">
        <v>2411</v>
      </c>
      <c r="B18" s="4" t="n">
        <v>0.02</v>
      </c>
      <c r="C18" s="4" t="s">
        <v>2412</v>
      </c>
      <c r="D18" s="4" t="s">
        <v>2413</v>
      </c>
      <c r="E18" s="4"/>
      <c r="F18" s="4"/>
      <c r="G18" s="4"/>
      <c r="H18" s="4"/>
      <c r="I18" s="4"/>
      <c r="J18" s="4"/>
      <c r="K18" s="4"/>
      <c r="L18" s="4"/>
      <c r="M18" s="4"/>
      <c r="N18" s="4"/>
    </row>
  </sheetData>
  <mergeCells count="3">
    <mergeCell ref="A1:N1"/>
    <mergeCell ref="A2:N2"/>
    <mergeCell ref="A10:N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7" width="38"/>
    <col collapsed="false" customWidth="true" hidden="false" outlineLevel="0" max="2" min="2" style="17" width="17"/>
    <col collapsed="false" customWidth="true" hidden="false" outlineLevel="0" max="3" min="3" style="17" width="15"/>
    <col collapsed="false" customWidth="true" hidden="false" outlineLevel="0" max="4" min="4" style="17" width="36"/>
    <col collapsed="false" customWidth="true" hidden="false" outlineLevel="0" max="5" min="5" style="17" width="42"/>
    <col collapsed="false" customWidth="true" hidden="false" outlineLevel="0" max="8" min="6" style="17" width="14"/>
  </cols>
  <sheetData>
    <row r="1" customFormat="false" ht="15" hidden="false" customHeight="true" outlineLevel="0" collapsed="false">
      <c r="A1" s="100" t="s">
        <v>2414</v>
      </c>
      <c r="B1" s="100"/>
      <c r="C1" s="100"/>
      <c r="D1" s="100"/>
      <c r="E1" s="100"/>
      <c r="F1" s="100"/>
      <c r="G1" s="100"/>
      <c r="H1" s="100"/>
    </row>
    <row r="2" customFormat="false" ht="23.25" hidden="false" customHeight="true" outlineLevel="0" collapsed="false">
      <c r="A2" s="48" t="s">
        <v>2415</v>
      </c>
      <c r="B2" s="48"/>
      <c r="C2" s="48"/>
      <c r="D2" s="48"/>
      <c r="E2" s="48"/>
      <c r="F2" s="48"/>
      <c r="G2" s="48"/>
      <c r="H2" s="48"/>
    </row>
    <row r="3" customFormat="false" ht="15" hidden="false" customHeight="true" outlineLevel="0" collapsed="false">
      <c r="A3" s="4"/>
      <c r="B3" s="4"/>
      <c r="C3" s="4"/>
      <c r="D3" s="4"/>
      <c r="E3" s="4"/>
      <c r="F3" s="4"/>
      <c r="G3" s="4"/>
      <c r="H3" s="4"/>
    </row>
    <row r="4" customFormat="false" ht="15" hidden="false" customHeight="true" outlineLevel="0" collapsed="false">
      <c r="A4" s="37" t="s">
        <v>37</v>
      </c>
      <c r="B4" s="37" t="s">
        <v>2085</v>
      </c>
      <c r="C4" s="37" t="s">
        <v>689</v>
      </c>
      <c r="D4" s="37" t="s">
        <v>1984</v>
      </c>
      <c r="E4" s="37" t="s">
        <v>2416</v>
      </c>
      <c r="F4" s="37" t="s">
        <v>691</v>
      </c>
      <c r="G4" s="37" t="s">
        <v>2417</v>
      </c>
      <c r="H4" s="37" t="s">
        <v>2418</v>
      </c>
    </row>
    <row r="5" customFormat="false" ht="15" hidden="false" customHeight="true" outlineLevel="0" collapsed="false">
      <c r="A5" s="4" t="s">
        <v>2419</v>
      </c>
      <c r="B5" s="72" t="n">
        <v>68000</v>
      </c>
      <c r="C5" s="4" t="s">
        <v>636</v>
      </c>
      <c r="D5" s="4" t="s">
        <v>2420</v>
      </c>
      <c r="E5" s="4" t="s">
        <v>2421</v>
      </c>
      <c r="F5" s="4" t="s">
        <v>2422</v>
      </c>
      <c r="G5" s="72" t="n">
        <v>68000</v>
      </c>
      <c r="H5" s="72" t="n">
        <v>68000</v>
      </c>
    </row>
    <row r="6" customFormat="false" ht="15" hidden="false" customHeight="true" outlineLevel="0" collapsed="false">
      <c r="A6" s="4" t="s">
        <v>1305</v>
      </c>
      <c r="B6" s="72" t="n">
        <v>0.0073</v>
      </c>
      <c r="C6" s="4" t="s">
        <v>2423</v>
      </c>
      <c r="D6" s="4" t="s">
        <v>2424</v>
      </c>
      <c r="E6" s="4" t="s">
        <v>1646</v>
      </c>
      <c r="F6" s="4" t="s">
        <v>702</v>
      </c>
      <c r="G6" s="72" t="n">
        <v>0.0073</v>
      </c>
      <c r="H6" s="72" t="n">
        <v>0.0073</v>
      </c>
    </row>
    <row r="7" customFormat="false" ht="23.25" hidden="false" customHeight="true" outlineLevel="0" collapsed="false">
      <c r="A7" s="4" t="s">
        <v>2425</v>
      </c>
      <c r="B7" s="72" t="n">
        <v>1.44</v>
      </c>
      <c r="C7" s="4" t="s">
        <v>2426</v>
      </c>
      <c r="D7" s="4" t="s">
        <v>2427</v>
      </c>
      <c r="E7" s="4" t="s">
        <v>2428</v>
      </c>
      <c r="F7" s="4" t="s">
        <v>697</v>
      </c>
      <c r="G7" s="72" t="n">
        <v>1.44</v>
      </c>
      <c r="H7" s="72" t="n">
        <v>1.6</v>
      </c>
    </row>
    <row r="8" customFormat="false" ht="15" hidden="false" customHeight="true" outlineLevel="0" collapsed="false">
      <c r="A8" s="4" t="s">
        <v>2429</v>
      </c>
      <c r="B8" s="72" t="n">
        <v>0.86</v>
      </c>
      <c r="C8" s="4" t="s">
        <v>2430</v>
      </c>
      <c r="D8" s="4" t="s">
        <v>2431</v>
      </c>
      <c r="E8" s="4" t="s">
        <v>2432</v>
      </c>
      <c r="F8" s="4" t="s">
        <v>697</v>
      </c>
      <c r="G8" s="72" t="n">
        <v>0.86</v>
      </c>
      <c r="H8" s="72" t="n">
        <v>0.88</v>
      </c>
    </row>
    <row r="9" customFormat="false" ht="23.25" hidden="false" customHeight="true" outlineLevel="0" collapsed="false">
      <c r="A9" s="4" t="s">
        <v>2433</v>
      </c>
      <c r="B9" s="72" t="n">
        <v>5</v>
      </c>
      <c r="C9" s="4" t="s">
        <v>2426</v>
      </c>
      <c r="D9" s="4" t="s">
        <v>2434</v>
      </c>
      <c r="E9" s="4" t="s">
        <v>2435</v>
      </c>
      <c r="F9" s="4" t="s">
        <v>2436</v>
      </c>
      <c r="G9" s="72" t="n">
        <v>3</v>
      </c>
      <c r="H9" s="72" t="n">
        <v>10</v>
      </c>
    </row>
    <row r="10" customFormat="false" ht="23.25" hidden="false" customHeight="true" outlineLevel="0" collapsed="false">
      <c r="A10" s="4" t="s">
        <v>2437</v>
      </c>
      <c r="B10" s="72" t="n">
        <v>10</v>
      </c>
      <c r="C10" s="4" t="s">
        <v>2426</v>
      </c>
      <c r="D10" s="4" t="s">
        <v>2434</v>
      </c>
      <c r="E10" s="4" t="s">
        <v>2438</v>
      </c>
      <c r="F10" s="4" t="s">
        <v>2436</v>
      </c>
      <c r="G10" s="72" t="n">
        <v>7.5</v>
      </c>
      <c r="H10" s="72" t="n">
        <v>15</v>
      </c>
    </row>
    <row r="11" customFormat="false" ht="15" hidden="false" customHeight="true" outlineLevel="0" collapsed="false">
      <c r="A11" s="4"/>
      <c r="B11" s="4"/>
      <c r="C11" s="4"/>
      <c r="D11" s="4"/>
      <c r="E11" s="4"/>
      <c r="F11" s="4"/>
      <c r="G11" s="4"/>
      <c r="H11" s="4"/>
    </row>
    <row r="12" customFormat="false" ht="34.5" hidden="false" customHeight="true" outlineLevel="0" collapsed="false">
      <c r="A12" s="37" t="s">
        <v>2439</v>
      </c>
      <c r="B12" s="37" t="s">
        <v>2440</v>
      </c>
      <c r="C12" s="37" t="s">
        <v>2441</v>
      </c>
      <c r="D12" s="37" t="s">
        <v>2442</v>
      </c>
      <c r="E12" s="37" t="s">
        <v>690</v>
      </c>
      <c r="F12" s="37" t="s">
        <v>691</v>
      </c>
      <c r="G12" s="4"/>
      <c r="H12" s="4"/>
    </row>
    <row r="13" customFormat="false" ht="15" hidden="false" customHeight="true" outlineLevel="0" collapsed="false">
      <c r="A13" s="222" t="n">
        <v>0.5</v>
      </c>
      <c r="B13" s="72" t="n">
        <f aca="false">A13*1000*$B$6</f>
        <v>3.65</v>
      </c>
      <c r="C13" s="72" t="n">
        <f aca="false">Budget_0_4_10!D23-B13*(1+National_Continuity!$B$10)^10</f>
        <v>1075.41859086699</v>
      </c>
      <c r="D13" s="49" t="n">
        <f aca="false">A13/68</f>
        <v>0.00735294117647059</v>
      </c>
      <c r="E13" s="4" t="s">
        <v>2443</v>
      </c>
      <c r="F13" s="4" t="s">
        <v>2183</v>
      </c>
      <c r="G13" s="4"/>
      <c r="H13" s="4"/>
    </row>
    <row r="14" customFormat="false" ht="15" hidden="false" customHeight="true" outlineLevel="0" collapsed="false">
      <c r="A14" s="222" t="n">
        <v>1</v>
      </c>
      <c r="B14" s="72" t="n">
        <f aca="false">A14*1000*$B$6</f>
        <v>7.3</v>
      </c>
      <c r="C14" s="72" t="n">
        <f aca="false">Budget_0_4_10!D23-B14*(1+National_Continuity!$B$10)^10</f>
        <v>1071.30616587767</v>
      </c>
      <c r="D14" s="49" t="n">
        <f aca="false">A14/68</f>
        <v>0.0147058823529412</v>
      </c>
      <c r="E14" s="4" t="s">
        <v>2443</v>
      </c>
      <c r="F14" s="4" t="s">
        <v>2183</v>
      </c>
      <c r="G14" s="4"/>
      <c r="H14" s="4"/>
    </row>
    <row r="15" customFormat="false" ht="15" hidden="false" customHeight="true" outlineLevel="0" collapsed="false">
      <c r="A15" s="222" t="n">
        <v>2</v>
      </c>
      <c r="B15" s="72" t="n">
        <f aca="false">A15*1000*$B$6</f>
        <v>14.6</v>
      </c>
      <c r="C15" s="72" t="n">
        <f aca="false">Budget_0_4_10!D23-B15*(1+National_Continuity!$B$10)^10</f>
        <v>1063.08131589902</v>
      </c>
      <c r="D15" s="49" t="n">
        <f aca="false">A15/68</f>
        <v>0.0294117647058824</v>
      </c>
      <c r="E15" s="4" t="s">
        <v>2443</v>
      </c>
      <c r="F15" s="4" t="s">
        <v>2183</v>
      </c>
      <c r="G15" s="4"/>
      <c r="H15" s="4"/>
    </row>
    <row r="16" customFormat="false" ht="15" hidden="false" customHeight="true" outlineLevel="0" collapsed="false">
      <c r="A16" s="222" t="n">
        <v>3</v>
      </c>
      <c r="B16" s="72" t="n">
        <f aca="false">A16*1000*$B$6</f>
        <v>21.9</v>
      </c>
      <c r="C16" s="72" t="n">
        <f aca="false">Budget_0_4_10!D23-B16*(1+National_Continuity!$B$10)^10</f>
        <v>1054.85646592037</v>
      </c>
      <c r="D16" s="49" t="n">
        <f aca="false">A16/68</f>
        <v>0.0441176470588235</v>
      </c>
      <c r="E16" s="4" t="s">
        <v>2443</v>
      </c>
      <c r="F16" s="4" t="s">
        <v>2183</v>
      </c>
      <c r="G16" s="4"/>
      <c r="H16" s="4"/>
    </row>
    <row r="17" customFormat="false" ht="15" hidden="false" customHeight="true" outlineLevel="0" collapsed="false">
      <c r="A17" s="222" t="n">
        <v>5</v>
      </c>
      <c r="B17" s="72" t="n">
        <f aca="false">A17*1000*$B$6</f>
        <v>36.5</v>
      </c>
      <c r="C17" s="72" t="n">
        <f aca="false">Budget_0_4_10!D23-B17*(1+National_Continuity!$B$10)^10</f>
        <v>1038.40676596308</v>
      </c>
      <c r="D17" s="49" t="n">
        <f aca="false">A17/68</f>
        <v>0.0735294117647059</v>
      </c>
      <c r="E17" s="4" t="s">
        <v>2443</v>
      </c>
      <c r="F17" s="4" t="s">
        <v>2183</v>
      </c>
      <c r="G17" s="4"/>
      <c r="H17" s="4"/>
    </row>
    <row r="18" customFormat="false" ht="15" hidden="false" customHeight="true" outlineLevel="0" collapsed="false">
      <c r="A18" s="222" t="n">
        <v>8</v>
      </c>
      <c r="B18" s="72" t="n">
        <f aca="false">A18*1000*$B$6</f>
        <v>58.4</v>
      </c>
      <c r="C18" s="72" t="n">
        <f aca="false">Budget_0_4_10!D23-B18*(1+National_Continuity!$B$10)^10</f>
        <v>1013.73221602713</v>
      </c>
      <c r="D18" s="49" t="n">
        <f aca="false">A18/68</f>
        <v>0.117647058823529</v>
      </c>
      <c r="E18" s="4" t="s">
        <v>2443</v>
      </c>
      <c r="F18" s="4" t="s">
        <v>2183</v>
      </c>
      <c r="G18" s="4"/>
      <c r="H18" s="4"/>
    </row>
    <row r="19" customFormat="false" ht="15" hidden="false" customHeight="true" outlineLevel="0" collapsed="false">
      <c r="A19" s="4"/>
      <c r="B19" s="4"/>
      <c r="C19" s="4"/>
      <c r="D19" s="4"/>
      <c r="E19" s="4"/>
      <c r="F19" s="4"/>
      <c r="G19" s="4"/>
      <c r="H19" s="4"/>
    </row>
    <row r="20" customFormat="false" ht="15" hidden="false" customHeight="true" outlineLevel="0" collapsed="false">
      <c r="A20" s="4"/>
      <c r="B20" s="4"/>
      <c r="C20" s="4"/>
      <c r="D20" s="4"/>
      <c r="E20" s="4"/>
      <c r="F20" s="4"/>
      <c r="G20" s="4"/>
      <c r="H20" s="4"/>
    </row>
    <row r="21" customFormat="false" ht="69.75" hidden="false" customHeight="true" outlineLevel="0" collapsed="false">
      <c r="A21" s="48" t="s">
        <v>2444</v>
      </c>
      <c r="B21" s="48"/>
      <c r="C21" s="48"/>
      <c r="D21" s="48"/>
      <c r="E21" s="48"/>
      <c r="F21" s="48"/>
      <c r="G21" s="48"/>
      <c r="H21" s="48"/>
    </row>
    <row r="22" customFormat="false" ht="15" hidden="false" customHeight="true" outlineLevel="0" collapsed="false">
      <c r="A22" s="4"/>
      <c r="B22" s="4"/>
      <c r="C22" s="4"/>
      <c r="D22" s="4"/>
      <c r="E22" s="4"/>
      <c r="F22" s="4"/>
      <c r="G22" s="4"/>
      <c r="H22" s="4"/>
    </row>
    <row r="23" customFormat="false" ht="15" hidden="false" customHeight="true" outlineLevel="0" collapsed="false">
      <c r="A23" s="37" t="s">
        <v>40</v>
      </c>
      <c r="B23" s="37" t="s">
        <v>41</v>
      </c>
      <c r="C23" s="37" t="s">
        <v>2445</v>
      </c>
      <c r="D23" s="37" t="s">
        <v>2446</v>
      </c>
      <c r="E23" s="4"/>
      <c r="F23" s="4"/>
      <c r="G23" s="4"/>
      <c r="H23" s="4"/>
    </row>
    <row r="24" customFormat="false" ht="79.5" hidden="false" customHeight="true" outlineLevel="0" collapsed="false">
      <c r="A24" s="4" t="s">
        <v>2447</v>
      </c>
      <c r="B24" s="4" t="s">
        <v>2448</v>
      </c>
      <c r="C24" s="4" t="s">
        <v>2449</v>
      </c>
      <c r="D24" s="4" t="s">
        <v>2450</v>
      </c>
      <c r="E24" s="4"/>
      <c r="F24" s="4"/>
      <c r="G24" s="4"/>
      <c r="H24" s="4"/>
    </row>
    <row r="25" customFormat="false" ht="68.25" hidden="false" customHeight="true" outlineLevel="0" collapsed="false">
      <c r="A25" s="4" t="s">
        <v>2451</v>
      </c>
      <c r="B25" s="4" t="s">
        <v>2452</v>
      </c>
      <c r="C25" s="4" t="s">
        <v>2453</v>
      </c>
      <c r="D25" s="4" t="s">
        <v>2454</v>
      </c>
      <c r="E25" s="4"/>
      <c r="F25" s="4"/>
      <c r="G25" s="4"/>
      <c r="H25" s="4"/>
    </row>
    <row r="26" customFormat="false" ht="68.25" hidden="false" customHeight="true" outlineLevel="0" collapsed="false">
      <c r="A26" s="4" t="s">
        <v>2455</v>
      </c>
      <c r="B26" s="4" t="s">
        <v>2456</v>
      </c>
      <c r="C26" s="4" t="s">
        <v>2457</v>
      </c>
      <c r="D26" s="4" t="s">
        <v>2458</v>
      </c>
      <c r="E26" s="4"/>
      <c r="F26" s="4"/>
      <c r="G26" s="4"/>
      <c r="H26" s="4"/>
    </row>
    <row r="27" customFormat="false" ht="45.75" hidden="false" customHeight="true" outlineLevel="0" collapsed="false">
      <c r="A27" s="4" t="s">
        <v>2459</v>
      </c>
      <c r="B27" s="4" t="s">
        <v>2460</v>
      </c>
      <c r="C27" s="4" t="s">
        <v>2461</v>
      </c>
      <c r="D27" s="4" t="s">
        <v>2462</v>
      </c>
      <c r="E27" s="4"/>
      <c r="F27" s="4"/>
      <c r="G27" s="4"/>
      <c r="H27" s="4"/>
    </row>
  </sheetData>
  <mergeCells count="3">
    <mergeCell ref="A1:H1"/>
    <mergeCell ref="A2:H2"/>
    <mergeCell ref="A21:H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2026-07-17T04:09:18Z</dcterms:created>
  <dc:creator>openpyxl</dc:creator>
  <dc:description/>
  <dc:language>en-US</dc:language>
  <cp:lastModifiedBy/>
  <dcterms:modified xsi:type="dcterms:W3CDTF">2026-07-17T04:15:17Z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